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33" customWidth="1" min="3" max="3"/>
    <col width="33" customWidth="1" min="4" max="4"/>
    <col width="28" customWidth="1" min="5" max="5"/>
  </cols>
  <sheetData>
    <row r="1">
      <c r="A1" s="1" t="inlineStr">
        <is>
          <t>Monthly budget, February 2026</t>
        </is>
      </c>
    </row>
    <row r="2"/>
    <row r="3">
      <c r="A3" s="2" t="inlineStr">
        <is>
          <t>Category</t>
        </is>
      </c>
      <c r="B3" s="2" t="inlineStr">
        <is>
          <t>Type</t>
        </is>
      </c>
      <c r="C3" s="2" t="inlineStr">
        <is>
          <t>Budgeted</t>
        </is>
      </c>
      <c r="D3" s="2" t="inlineStr">
        <is>
          <t>Actual</t>
        </is>
      </c>
      <c r="E3" s="2" t="inlineStr">
        <is>
          <t>Notes</t>
        </is>
      </c>
    </row>
    <row r="4">
      <c r="A4" t="inlineStr">
        <is>
          <t>Barista wages and tips</t>
        </is>
      </c>
      <c r="B4" t="inlineStr">
        <is>
          <t>Income</t>
        </is>
      </c>
      <c r="C4" s="3" t="n">
        <v>2100</v>
      </c>
      <c r="D4" s="3" t="n">
        <v>2055</v>
      </c>
      <c r="E4" t="inlineStr">
        <is>
          <t>Net of taxes varies</t>
        </is>
      </c>
    </row>
    <row r="5">
      <c r="A5" t="inlineStr">
        <is>
          <t>Freelance</t>
        </is>
      </c>
      <c r="B5" t="inlineStr">
        <is>
          <t>Income</t>
        </is>
      </c>
      <c r="C5" s="3" t="n">
        <v>300</v>
      </c>
      <c r="D5" s="3" t="n">
        <v>400</v>
      </c>
      <c r="E5" t="inlineStr">
        <is>
          <t>Dawnstone single artwork</t>
        </is>
      </c>
    </row>
    <row r="6">
      <c r="A6" t="inlineStr">
        <is>
          <t>Rent</t>
        </is>
      </c>
      <c r="B6" t="inlineStr">
        <is>
          <t>Expense</t>
        </is>
      </c>
      <c r="C6" s="3" t="n">
        <v>825</v>
      </c>
      <c r="D6" s="3" t="n">
        <v>825</v>
      </c>
      <c r="E6" t="inlineStr">
        <is>
          <t>Henry share, paid to Derek</t>
        </is>
      </c>
    </row>
    <row r="7">
      <c r="A7" t="inlineStr">
        <is>
          <t>Utilities</t>
        </is>
      </c>
      <c r="B7" t="inlineStr">
        <is>
          <t>Expense</t>
        </is>
      </c>
      <c r="C7" s="3" t="n">
        <v>60</v>
      </c>
      <c r="D7" s="3" t="n">
        <v>58.4</v>
      </c>
      <c r="E7" t="inlineStr">
        <is>
          <t>Split with Derek</t>
        </is>
      </c>
    </row>
    <row r="8">
      <c r="A8" t="inlineStr">
        <is>
          <t>WeGo transit pass</t>
        </is>
      </c>
      <c r="B8" t="inlineStr">
        <is>
          <t>Expense</t>
        </is>
      </c>
      <c r="C8" s="3" t="n">
        <v>100</v>
      </c>
      <c r="D8" s="3" t="n">
        <v>100</v>
      </c>
      <c r="E8" t="inlineStr">
        <is>
          <t>Monthly pass</t>
        </is>
      </c>
    </row>
    <row r="9">
      <c r="A9" t="inlineStr">
        <is>
          <t>Phone</t>
        </is>
      </c>
      <c r="B9" t="inlineStr">
        <is>
          <t>Expense</t>
        </is>
      </c>
      <c r="C9" s="3" t="n">
        <v>45</v>
      </c>
      <c r="D9" s="3" t="n">
        <v>45</v>
      </c>
      <c r="E9" t="inlineStr">
        <is>
          <t>Share of family plan</t>
        </is>
      </c>
    </row>
    <row r="10">
      <c r="A10" t="inlineStr">
        <is>
          <t>Groceries</t>
        </is>
      </c>
      <c r="B10" t="inlineStr">
        <is>
          <t>Expense</t>
        </is>
      </c>
      <c r="C10" s="3" t="n">
        <v>250</v>
      </c>
      <c r="D10" s="3" t="n">
        <v>243</v>
      </c>
      <c r="E10" t="inlineStr">
        <is>
          <t>Split, weeknight cooking</t>
        </is>
      </c>
    </row>
    <row r="11">
      <c r="A11" t="inlineStr">
        <is>
          <t>Spotify</t>
        </is>
      </c>
      <c r="B11" t="inlineStr">
        <is>
          <t>Expense</t>
        </is>
      </c>
      <c r="C11" s="3" t="n">
        <v>11.99</v>
      </c>
      <c r="D11" s="3" t="n">
        <v>11.99</v>
      </c>
      <c r="E11" t="inlineStr"/>
    </row>
    <row r="12">
      <c r="A12" t="inlineStr">
        <is>
          <t>Adobe Creative Cloud</t>
        </is>
      </c>
      <c r="B12" t="inlineStr">
        <is>
          <t>Expense</t>
        </is>
      </c>
      <c r="C12" s="3" t="n">
        <v>22.99</v>
      </c>
      <c r="D12" s="3" t="n">
        <v>22.99</v>
      </c>
      <c r="E12" t="inlineStr">
        <is>
          <t>Debating cancel</t>
        </is>
      </c>
    </row>
    <row r="13">
      <c r="A13" t="inlineStr">
        <is>
          <t>Squarespace</t>
        </is>
      </c>
      <c r="B13" t="inlineStr">
        <is>
          <t>Expense</t>
        </is>
      </c>
      <c r="C13" s="3" t="n">
        <v>16</v>
      </c>
      <c r="D13" s="3" t="n">
        <v>16</v>
      </c>
      <c r="E13" t="inlineStr">
        <is>
          <t>Portfolio</t>
        </is>
      </c>
    </row>
    <row r="14">
      <c r="A14" t="inlineStr">
        <is>
          <t>Renter insurance</t>
        </is>
      </c>
      <c r="B14" t="inlineStr">
        <is>
          <t>Expense</t>
        </is>
      </c>
      <c r="C14" s="3" t="n">
        <v>15</v>
      </c>
      <c r="D14" s="3" t="n">
        <v>15</v>
      </c>
      <c r="E14" t="inlineStr">
        <is>
          <t>Cumberland Mutual</t>
        </is>
      </c>
    </row>
    <row r="15">
      <c r="A15" t="inlineStr">
        <is>
          <t>Art supplies</t>
        </is>
      </c>
      <c r="B15" t="inlineStr">
        <is>
          <t>Expense</t>
        </is>
      </c>
      <c r="C15" s="3" t="n">
        <v>110</v>
      </c>
      <c r="D15" s="3" t="n">
        <v>96</v>
      </c>
      <c r="E15" t="inlineStr">
        <is>
          <t>Inks and a Copic refill</t>
        </is>
      </c>
    </row>
    <row r="16">
      <c r="A16" t="inlineStr">
        <is>
          <t>Savings transfer</t>
        </is>
      </c>
      <c r="B16" t="inlineStr">
        <is>
          <t>Expense</t>
        </is>
      </c>
      <c r="C16" s="3" t="n">
        <v>50</v>
      </c>
      <c r="D16" s="3" t="n">
        <v>50</v>
      </c>
      <c r="E16" t="inlineStr">
        <is>
          <t>To Brightpath savings</t>
        </is>
      </c>
    </row>
    <row r="17">
      <c r="A17" s="1" t="inlineStr">
        <is>
          <t>Total income</t>
        </is>
      </c>
      <c r="C17" s="3">
        <f>SUMIF(B4:B16,"Income",C4:C16)</f>
        <v/>
      </c>
      <c r="D17" s="3">
        <f>SUMIF(B4:B16,"Income",D4:D16)</f>
        <v/>
      </c>
    </row>
    <row r="18">
      <c r="A18" s="1" t="inlineStr">
        <is>
          <t>Total expense</t>
        </is>
      </c>
      <c r="C18" s="3">
        <f>SUMIF(B4:B16,"Expense",C4:C16)</f>
        <v/>
      </c>
      <c r="D18" s="3">
        <f>SUMIF(B4:B16,"Expense",D4:D16)</f>
        <v/>
      </c>
    </row>
    <row r="19">
      <c r="A19" s="1" t="inlineStr">
        <is>
          <t>Net</t>
        </is>
      </c>
      <c r="C19" s="3" t="n"/>
      <c r="D19" s="3">
        <f>D17-D18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