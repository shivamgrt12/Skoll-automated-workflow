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>
    <definedName name="_xlnm._FilterDatabase" localSheetId="0" hidden="1">'Maintenance'!$A$1:$H$1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2" customWidth="1" min="3" max="3"/>
    <col width="15" customWidth="1" min="4" max="4"/>
    <col width="13" customWidth="1" min="5" max="5"/>
    <col width="13" customWidth="1" min="6" max="6"/>
    <col width="23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Task</t>
        </is>
      </c>
      <c r="D1" s="1" t="inlineStr">
        <is>
          <t>Hours Reading</t>
        </is>
      </c>
      <c r="E1" s="1" t="inlineStr">
        <is>
          <t>Parts Cost</t>
        </is>
      </c>
      <c r="F1" s="1" t="inlineStr">
        <is>
          <t>Labor</t>
        </is>
      </c>
      <c r="G1" s="1" t="inlineStr">
        <is>
          <t>Vendor</t>
        </is>
      </c>
      <c r="H1" s="1" t="inlineStr">
        <is>
          <t>Next Due</t>
        </is>
      </c>
    </row>
    <row r="2">
      <c r="A2" s="2" t="inlineStr">
        <is>
          <t>2025-12-15</t>
        </is>
      </c>
      <c r="B2" s="2" t="inlineStr">
        <is>
          <t>Twin Cummins</t>
        </is>
      </c>
      <c r="C2" s="2" t="inlineStr">
        <is>
          <t>Haul-out, oil and filters</t>
        </is>
      </c>
      <c r="D2" s="2" t="n">
        <v>4820</v>
      </c>
      <c r="E2" s="3" t="n">
        <v>612</v>
      </c>
      <c r="F2" s="3" t="n">
        <v>0</v>
      </c>
      <c r="G2" s="2" t="inlineStr">
        <is>
          <t>Self / Marshwood yard</t>
        </is>
      </c>
      <c r="H2" s="2" t="inlineStr">
        <is>
          <t>2026-12 haul</t>
        </is>
      </c>
    </row>
    <row r="3">
      <c r="A3" s="4" t="inlineStr">
        <is>
          <t>2025-12-18</t>
        </is>
      </c>
      <c r="B3" s="4" t="inlineStr">
        <is>
          <t>Hull</t>
        </is>
      </c>
      <c r="C3" s="4" t="inlineStr">
        <is>
          <t>Bottom paint, zincs</t>
        </is>
      </c>
      <c r="D3" s="4" t="n">
        <v>4820</v>
      </c>
      <c r="E3" s="5" t="n">
        <v>388</v>
      </c>
      <c r="F3" s="5" t="n">
        <v>450</v>
      </c>
      <c r="G3" s="4" t="inlineStr">
        <is>
          <t>Marshwood Partners</t>
        </is>
      </c>
      <c r="H3" s="4" t="inlineStr">
        <is>
          <t>Annual</t>
        </is>
      </c>
    </row>
    <row r="4">
      <c r="A4" s="2" t="inlineStr">
        <is>
          <t>2026-01-08</t>
        </is>
      </c>
      <c r="B4" s="2" t="inlineStr">
        <is>
          <t>Hydraulic puller</t>
        </is>
      </c>
      <c r="C4" s="2" t="inlineStr">
        <is>
          <t>Hose and seal rebuild</t>
        </is>
      </c>
      <c r="D4" s="2" t="n">
        <v>4820</v>
      </c>
      <c r="E4" s="3" t="n">
        <v>245</v>
      </c>
      <c r="F4" s="3" t="n">
        <v>0</v>
      </c>
      <c r="G4" s="2" t="inlineStr">
        <is>
          <t>Self, marina shed</t>
        </is>
      </c>
      <c r="H4" s="2" t="inlineStr">
        <is>
          <t>Spring check</t>
        </is>
      </c>
    </row>
    <row r="5">
      <c r="A5" s="4" t="inlineStr">
        <is>
          <t>2026-01-22</t>
        </is>
      </c>
      <c r="B5" s="4" t="inlineStr">
        <is>
          <t>Electronics</t>
        </is>
      </c>
      <c r="C5" s="4" t="inlineStr">
        <is>
          <t>Garmin software, radar test</t>
        </is>
      </c>
      <c r="D5" s="4" t="n">
        <v>4820</v>
      </c>
      <c r="E5" s="5" t="n">
        <v>0</v>
      </c>
      <c r="F5" s="5" t="n">
        <v>0</v>
      </c>
      <c r="G5" s="4" t="inlineStr">
        <is>
          <t>Self</t>
        </is>
      </c>
      <c r="H5" s="4" t="inlineStr">
        <is>
          <t>Pre-season</t>
        </is>
      </c>
    </row>
    <row r="6">
      <c r="A6" s="2" t="inlineStr">
        <is>
          <t>2026-02-12</t>
        </is>
      </c>
      <c r="B6" s="2" t="inlineStr">
        <is>
          <t>Fuel system</t>
        </is>
      </c>
      <c r="C6" s="2" t="inlineStr">
        <is>
          <t>Racor filters, water separator</t>
        </is>
      </c>
      <c r="D6" s="2" t="n">
        <v>4825</v>
      </c>
      <c r="E6" s="3" t="n">
        <v>96</v>
      </c>
      <c r="F6" s="3" t="n">
        <v>0</v>
      </c>
      <c r="G6" s="2" t="inlineStr">
        <is>
          <t>Self</t>
        </is>
      </c>
      <c r="H6" s="2" t="inlineStr">
        <is>
          <t>Mid-season</t>
        </is>
      </c>
    </row>
    <row r="7">
      <c r="A7" s="4" t="inlineStr">
        <is>
          <t>2026-02-26</t>
        </is>
      </c>
      <c r="B7" s="4" t="inlineStr">
        <is>
          <t>Safety gear</t>
        </is>
      </c>
      <c r="C7" s="4" t="inlineStr">
        <is>
          <t>Flares, PFD, EPIRB battery</t>
        </is>
      </c>
      <c r="D7" s="4" t="n">
        <v>4825</v>
      </c>
      <c r="E7" s="5" t="n">
        <v>320</v>
      </c>
      <c r="F7" s="5" t="n">
        <v>0</v>
      </c>
      <c r="G7" s="4" t="inlineStr">
        <is>
          <t>West Marine</t>
        </is>
      </c>
      <c r="H7" s="4" t="inlineStr">
        <is>
          <t>Annual USCG</t>
        </is>
      </c>
    </row>
    <row r="8">
      <c r="A8" s="6" t="inlineStr">
        <is>
          <t>Off-season totals</t>
        </is>
      </c>
      <c r="B8" s="6" t="n"/>
      <c r="C8" s="6" t="n"/>
      <c r="D8" s="6" t="n"/>
      <c r="E8" s="6">
        <f>SUM(E2:E7)</f>
        <v/>
      </c>
      <c r="F8" s="6">
        <f>SUM(F2:F7)</f>
        <v/>
      </c>
      <c r="G8" s="6" t="n"/>
      <c r="H8" s="6" t="n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