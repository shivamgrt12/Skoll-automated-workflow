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and Bait" sheetId="1" state="visible" r:id="rId1"/>
  </sheets>
  <definedNames>
    <definedName name="_xlnm._FilterDatabase" localSheetId="0" hidden="1">'Fuel and Bait'!$A$1:$H$1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2E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AE2CF"/>
      </patternFill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3" customWidth="1" min="4" max="4"/>
    <col width="11" customWidth="1" min="5" max="5"/>
    <col width="13" customWidth="1" min="6" max="6"/>
    <col width="13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Type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Total</t>
        </is>
      </c>
      <c r="G1" s="1" t="inlineStr">
        <is>
          <t>Trip Ref</t>
        </is>
      </c>
      <c r="H1" s="1" t="inlineStr">
        <is>
          <t>Paid</t>
        </is>
      </c>
    </row>
    <row r="2">
      <c r="A2" s="2" t="inlineStr">
        <is>
          <t>2025-10-06</t>
        </is>
      </c>
      <c r="B2" s="2" t="inlineStr">
        <is>
          <t>Annapolis City Marina Fuel</t>
        </is>
      </c>
      <c r="C2" s="2" t="inlineStr">
        <is>
          <t>Diesel gal</t>
        </is>
      </c>
      <c r="D2" s="2" t="n">
        <v>118</v>
      </c>
      <c r="E2" s="3" t="n">
        <v>3.85</v>
      </c>
      <c r="F2" s="3" t="n">
        <v>454.3</v>
      </c>
      <c r="G2" s="2" t="inlineStr">
        <is>
          <t>X01 10-14</t>
        </is>
      </c>
      <c r="H2" s="2" t="inlineStr">
        <is>
          <t>Card</t>
        </is>
      </c>
    </row>
    <row r="3">
      <c r="A3" s="4" t="inlineStr">
        <is>
          <t>2025-10-07</t>
        </is>
      </c>
      <c r="B3" s="4" t="inlineStr">
        <is>
          <t>Eastport Bait Co</t>
        </is>
      </c>
      <c r="C3" s="4" t="inlineStr">
        <is>
          <t>Razor clam lb</t>
        </is>
      </c>
      <c r="D3" s="4" t="n">
        <v>240</v>
      </c>
      <c r="E3" s="5" t="n">
        <v>1.65</v>
      </c>
      <c r="F3" s="5" t="n">
        <v>396</v>
      </c>
      <c r="G3" s="4" t="inlineStr">
        <is>
          <t>X01 10-14</t>
        </is>
      </c>
      <c r="H3" s="4" t="inlineStr">
        <is>
          <t>Check</t>
        </is>
      </c>
    </row>
    <row r="4">
      <c r="A4" s="2" t="inlineStr">
        <is>
          <t>2025-11-03</t>
        </is>
      </c>
      <c r="B4" s="2" t="inlineStr">
        <is>
          <t>Annapolis City Marina Fuel</t>
        </is>
      </c>
      <c r="C4" s="2" t="inlineStr">
        <is>
          <t>Diesel gal</t>
        </is>
      </c>
      <c r="D4" s="2" t="n">
        <v>112</v>
      </c>
      <c r="E4" s="3" t="n">
        <v>3.79</v>
      </c>
      <c r="F4" s="3" t="n">
        <v>424.48</v>
      </c>
      <c r="G4" s="2" t="inlineStr">
        <is>
          <t>X01 11-18</t>
        </is>
      </c>
      <c r="H4" s="2" t="inlineStr">
        <is>
          <t>Card</t>
        </is>
      </c>
    </row>
    <row r="5">
      <c r="A5" s="4" t="inlineStr">
        <is>
          <t>2025-11-04</t>
        </is>
      </c>
      <c r="B5" s="4" t="inlineStr">
        <is>
          <t>Eastport Bait Co</t>
        </is>
      </c>
      <c r="C5" s="4" t="inlineStr">
        <is>
          <t>Bunker lb</t>
        </is>
      </c>
      <c r="D5" s="4" t="n">
        <v>300</v>
      </c>
      <c r="E5" s="5" t="n">
        <v>0.85</v>
      </c>
      <c r="F5" s="5" t="n">
        <v>255</v>
      </c>
      <c r="G5" s="4" t="inlineStr">
        <is>
          <t>X01 11-18</t>
        </is>
      </c>
      <c r="H5" s="4" t="inlineStr">
        <is>
          <t>Check</t>
        </is>
      </c>
    </row>
    <row r="6">
      <c r="A6" s="2" t="inlineStr">
        <is>
          <t>2026-01-20</t>
        </is>
      </c>
      <c r="B6" s="2" t="inlineStr">
        <is>
          <t>Marshwood Partners</t>
        </is>
      </c>
      <c r="C6" s="2" t="inlineStr">
        <is>
          <t>Winterize fuel</t>
        </is>
      </c>
      <c r="D6" s="2" t="n">
        <v>40</v>
      </c>
      <c r="E6" s="3" t="n">
        <v>3.95</v>
      </c>
      <c r="F6" s="3" t="n">
        <v>158</v>
      </c>
      <c r="G6" s="2" t="inlineStr">
        <is>
          <t>Haul-out</t>
        </is>
      </c>
      <c r="H6" s="2" t="inlineStr">
        <is>
          <t>Card</t>
        </is>
      </c>
    </row>
    <row r="7">
      <c r="A7" s="4" t="inlineStr">
        <is>
          <t>2026-02-18</t>
        </is>
      </c>
      <c r="B7" s="4" t="inlineStr">
        <is>
          <t>Eastport Bait Co</t>
        </is>
      </c>
      <c r="C7" s="4" t="inlineStr">
        <is>
          <t>Pre-season order</t>
        </is>
      </c>
      <c r="D7" s="4" t="n">
        <v>120</v>
      </c>
      <c r="E7" s="5" t="n">
        <v>1.7</v>
      </c>
      <c r="F7" s="5" t="n">
        <v>204</v>
      </c>
      <c r="G7" s="4" t="inlineStr">
        <is>
          <t>Spring prep</t>
        </is>
      </c>
      <c r="H7" s="4" t="inlineStr">
        <is>
          <t>Check</t>
        </is>
      </c>
    </row>
    <row r="8">
      <c r="A8" s="6" t="inlineStr">
        <is>
          <t>Totals</t>
        </is>
      </c>
      <c r="B8" s="6" t="n"/>
      <c r="C8" s="6" t="n"/>
      <c r="D8" s="6">
        <f>SUM(D2:D7)</f>
        <v/>
      </c>
      <c r="E8" s="6" t="n"/>
      <c r="F8" s="6">
        <f>SUM(F2:F7)</f>
        <v/>
      </c>
      <c r="G8" s="6" t="n"/>
      <c r="H8" s="6" t="n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