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" sheetId="1" state="visible" r:id="rId1"/>
  </sheets>
  <definedNames>
    <definedName name="_xlnm._FilterDatabase" localSheetId="0" hidden="1">'Savings'!$A$1:$F$1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2E"/>
    </font>
    <font>
      <b val="1"/>
      <color rgb="00FFFFFF"/>
      <sz val="10"/>
    </font>
    <font>
      <i val="1"/>
      <color rgb="006E7479"/>
      <sz val="9"/>
    </font>
  </fonts>
  <fills count="6">
    <fill>
      <patternFill/>
    </fill>
    <fill>
      <patternFill patternType="gray125"/>
    </fill>
    <fill>
      <patternFill patternType="solid">
        <fgColor rgb="00EAE2CF"/>
      </patternFill>
    </fill>
    <fill>
      <patternFill patternType="solid">
        <fgColor rgb="001C4E63"/>
      </patternFill>
    </fill>
    <fill>
      <patternFill patternType="solid">
        <fgColor rgb="00F3F1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3C4"/>
      </left>
      <right style="thin">
        <color rgb="00D9D3C4"/>
      </right>
      <top style="thin">
        <color rgb="00D9D3C4"/>
      </top>
      <bottom style="thin">
        <color rgb="00D9D3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4" fontId="0" fillId="5" borderId="1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3" customWidth="1" min="3" max="3"/>
    <col width="16" customWidth="1" min="4" max="4"/>
    <col width="16" customWidth="1" min="5" max="5"/>
    <col width="25" customWidth="1" min="6" max="6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Balance</t>
        </is>
      </c>
      <c r="D1" s="1" t="inlineStr">
        <is>
          <t>Monthly Target</t>
        </is>
      </c>
      <c r="E1" s="1" t="inlineStr">
        <is>
          <t>YTD 2025 Added</t>
        </is>
      </c>
      <c r="F1" s="1" t="inlineStr">
        <is>
          <t>Goal</t>
        </is>
      </c>
    </row>
    <row r="2">
      <c r="A2" s="2" t="inlineStr">
        <is>
          <t>Off-season buffer</t>
        </is>
      </c>
      <c r="B2" s="2" t="inlineStr">
        <is>
          <t>Annapolis Maritime Bank</t>
        </is>
      </c>
      <c r="C2" s="3" t="n">
        <v>42000</v>
      </c>
      <c r="D2" s="3" t="n">
        <v>500</v>
      </c>
      <c r="E2" s="3" t="n">
        <v>4800</v>
      </c>
      <c r="F2" s="2" t="inlineStr">
        <is>
          <t>Carry Dec to March</t>
        </is>
      </c>
    </row>
    <row r="3">
      <c r="A3" s="4" t="inlineStr">
        <is>
          <t>SEP-IRA</t>
        </is>
      </c>
      <c r="B3" s="4" t="inlineStr">
        <is>
          <t>via Frank DiMaggio</t>
        </is>
      </c>
      <c r="C3" s="5" t="n">
        <v>186000</v>
      </c>
      <c r="D3" s="5" t="n">
        <v>0</v>
      </c>
      <c r="E3" s="5" t="n">
        <v>12000</v>
      </c>
      <c r="F3" s="4" t="inlineStr">
        <is>
          <t>Annual lump at tax time</t>
        </is>
      </c>
    </row>
    <row r="4">
      <c r="A4" s="2" t="inlineStr">
        <is>
          <t>529 Patrick</t>
        </is>
      </c>
      <c r="B4" s="2" t="inlineStr">
        <is>
          <t>Maryland 529</t>
        </is>
      </c>
      <c r="C4" s="3" t="n">
        <v>34000</v>
      </c>
      <c r="D4" s="3" t="n">
        <v>150</v>
      </c>
      <c r="E4" s="3" t="n">
        <v>1500</v>
      </c>
      <c r="F4" s="2" t="inlineStr">
        <is>
          <t>College 2028</t>
        </is>
      </c>
    </row>
    <row r="5">
      <c r="A5" s="4" t="inlineStr">
        <is>
          <t>529 Siobhan</t>
        </is>
      </c>
      <c r="B5" s="4" t="inlineStr">
        <is>
          <t>Maryland 529</t>
        </is>
      </c>
      <c r="C5" s="5" t="n">
        <v>18000</v>
      </c>
      <c r="D5" s="5" t="n">
        <v>100</v>
      </c>
      <c r="E5" s="5" t="n">
        <v>1000</v>
      </c>
      <c r="F5" s="4" t="inlineStr">
        <is>
          <t>College 2031</t>
        </is>
      </c>
    </row>
    <row r="6">
      <c r="A6" s="2" t="inlineStr">
        <is>
          <t>529 Connor</t>
        </is>
      </c>
      <c r="B6" s="2" t="inlineStr">
        <is>
          <t>Maryland 529</t>
        </is>
      </c>
      <c r="C6" s="3" t="n">
        <v>9500</v>
      </c>
      <c r="D6" s="3" t="n">
        <v>50</v>
      </c>
      <c r="E6" s="3" t="n">
        <v>500</v>
      </c>
      <c r="F6" s="2" t="inlineStr">
        <is>
          <t>College 2035</t>
        </is>
      </c>
    </row>
    <row r="7">
      <c r="A7" s="6" t="inlineStr">
        <is>
          <t>Totals</t>
        </is>
      </c>
      <c r="B7" s="6" t="n"/>
      <c r="C7" s="6">
        <f>SUM(C2:C6)</f>
        <v/>
      </c>
      <c r="D7" s="6" t="n"/>
      <c r="E7" s="6">
        <f>SUM(E2:E6)</f>
        <v/>
      </c>
      <c r="F7" s="6" t="n"/>
    </row>
    <row r="9">
      <c r="A9" s="7" t="inlineStr">
        <is>
          <t>Engine loan payoff targeted early 2028. No new boat debt until Patrick is settled. Tax detail in summary P04.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Singleton</dc:creator>
  <cp:lastModifiedBy>Jack Singleton</cp:lastModifiedBy>
  <dcterms:created xsi:type="dcterms:W3CDTF">2026-02-20T08:00:00Z</dcterms:created>
  <dcterms:modified xsi:type="dcterms:W3CDTF">2026-02-22T08:00:00Z</dcterms:modified>
</cp:coreProperties>
</file>