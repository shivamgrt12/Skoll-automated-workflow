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Slate" sheetId="1" state="visible" r:id="rId1"/>
  </sheets>
  <definedNames>
    <definedName name="_xlnm._FilterDatabase" localSheetId="0" hidden="1">'2027 Slate'!$A$1:$I$1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  <font>
      <i val="1"/>
      <color rgb="006E7479"/>
      <sz val="9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20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Party</t>
        </is>
      </c>
      <c r="C1" s="1" t="inlineStr">
        <is>
          <t>Type</t>
        </is>
      </c>
      <c r="D1" s="1" t="inlineStr">
        <is>
          <t>Hours</t>
        </is>
      </c>
      <c r="E1" s="1" t="inlineStr">
        <is>
          <t>Rate</t>
        </is>
      </c>
      <c r="F1" s="1" t="inlineStr">
        <is>
          <t>Deposit</t>
        </is>
      </c>
      <c r="G1" s="1" t="inlineStr">
        <is>
          <t>Balance Due</t>
        </is>
      </c>
      <c r="H1" s="1" t="inlineStr">
        <is>
          <t>Target Species</t>
        </is>
      </c>
      <c r="I1" s="1" t="inlineStr">
        <is>
          <t>Status</t>
        </is>
      </c>
    </row>
    <row r="2">
      <c r="A2" s="2" t="inlineStr">
        <is>
          <t>2026-10-04</t>
        </is>
      </c>
      <c r="B2" s="2" t="inlineStr">
        <is>
          <t>Reardon group</t>
        </is>
      </c>
      <c r="C2" s="2" t="inlineStr">
        <is>
          <t>Half day</t>
        </is>
      </c>
      <c r="D2" s="2" t="n">
        <v>4</v>
      </c>
      <c r="E2" s="3" t="n">
        <v>650</v>
      </c>
      <c r="F2" s="3" t="n">
        <v>200</v>
      </c>
      <c r="G2" s="3" t="n">
        <v>450</v>
      </c>
      <c r="H2" s="2" t="inlineStr">
        <is>
          <t>Rockfish</t>
        </is>
      </c>
      <c r="I2" s="2" t="inlineStr">
        <is>
          <t>Confirmed</t>
        </is>
      </c>
    </row>
    <row r="3">
      <c r="A3" s="4" t="inlineStr">
        <is>
          <t>2026-10-18</t>
        </is>
      </c>
      <c r="B3" s="4" t="inlineStr">
        <is>
          <t>Whitlock party</t>
        </is>
      </c>
      <c r="C3" s="4" t="inlineStr">
        <is>
          <t>Full day</t>
        </is>
      </c>
      <c r="D3" s="4" t="n">
        <v>8</v>
      </c>
      <c r="E3" s="5" t="n">
        <v>1150</v>
      </c>
      <c r="F3" s="5" t="n">
        <v>350</v>
      </c>
      <c r="G3" s="5" t="n">
        <v>800</v>
      </c>
      <c r="H3" s="4" t="inlineStr">
        <is>
          <t>Rockfish, bluefish</t>
        </is>
      </c>
      <c r="I3" s="4" t="inlineStr">
        <is>
          <t>Confirmed</t>
        </is>
      </c>
    </row>
    <row r="4">
      <c r="A4" s="2" t="inlineStr">
        <is>
          <t>2027-06-12</t>
        </is>
      </c>
      <c r="B4" s="2" t="inlineStr">
        <is>
          <t>Andersen referral A</t>
        </is>
      </c>
      <c r="C4" s="2" t="inlineStr">
        <is>
          <t>Full day</t>
        </is>
      </c>
      <c r="D4" s="2" t="n">
        <v>8</v>
      </c>
      <c r="E4" s="3" t="n">
        <v>1150</v>
      </c>
      <c r="F4" s="3" t="n">
        <v>350</v>
      </c>
      <c r="G4" s="3" t="n">
        <v>800</v>
      </c>
      <c r="H4" s="2" t="inlineStr">
        <is>
          <t>Rockfish</t>
        </is>
      </c>
      <c r="I4" s="2" t="inlineStr">
        <is>
          <t>Deposit held</t>
        </is>
      </c>
    </row>
    <row r="5">
      <c r="A5" s="4" t="inlineStr">
        <is>
          <t>2027-06-26</t>
        </is>
      </c>
      <c r="B5" s="4" t="inlineStr">
        <is>
          <t>Corporate, Hanley</t>
        </is>
      </c>
      <c r="C5" s="4" t="inlineStr">
        <is>
          <t>Full day</t>
        </is>
      </c>
      <c r="D5" s="4" t="n">
        <v>8</v>
      </c>
      <c r="E5" s="5" t="n">
        <v>1150</v>
      </c>
      <c r="F5" s="5" t="n">
        <v>400</v>
      </c>
      <c r="G5" s="5" t="n">
        <v>750</v>
      </c>
      <c r="H5" s="4" t="inlineStr">
        <is>
          <t>Mixed bag</t>
        </is>
      </c>
      <c r="I5" s="4" t="inlineStr">
        <is>
          <t>Deposit held</t>
        </is>
      </c>
    </row>
    <row r="6">
      <c r="A6" s="2" t="inlineStr">
        <is>
          <t>2027-07-10</t>
        </is>
      </c>
      <c r="B6" s="2" t="inlineStr">
        <is>
          <t>Andersen referral B</t>
        </is>
      </c>
      <c r="C6" s="2" t="inlineStr">
        <is>
          <t>Half day</t>
        </is>
      </c>
      <c r="D6" s="2" t="n">
        <v>4</v>
      </c>
      <c r="E6" s="3" t="n">
        <v>675</v>
      </c>
      <c r="F6" s="3" t="n">
        <v>200</v>
      </c>
      <c r="G6" s="3" t="n">
        <v>475</v>
      </c>
      <c r="H6" s="2" t="inlineStr">
        <is>
          <t>Bluefish, flounder</t>
        </is>
      </c>
      <c r="I6" s="2" t="inlineStr">
        <is>
          <t>Tentative</t>
        </is>
      </c>
    </row>
    <row r="7">
      <c r="A7" s="4" t="inlineStr">
        <is>
          <t>2027-07-24</t>
        </is>
      </c>
      <c r="B7" s="4" t="inlineStr">
        <is>
          <t>Repeat, Delgado</t>
        </is>
      </c>
      <c r="C7" s="4" t="inlineStr">
        <is>
          <t>Full day</t>
        </is>
      </c>
      <c r="D7" s="4" t="n">
        <v>8</v>
      </c>
      <c r="E7" s="5" t="n">
        <v>1150</v>
      </c>
      <c r="F7" s="5" t="n">
        <v>350</v>
      </c>
      <c r="G7" s="5" t="n">
        <v>800</v>
      </c>
      <c r="H7" s="4" t="inlineStr">
        <is>
          <t>Rockfish</t>
        </is>
      </c>
      <c r="I7" s="4" t="inlineStr">
        <is>
          <t>Tentative</t>
        </is>
      </c>
    </row>
    <row r="8">
      <c r="A8" s="2" t="inlineStr">
        <is>
          <t>2027-08-14</t>
        </is>
      </c>
      <c r="B8" s="2" t="inlineStr">
        <is>
          <t>Family, Singleton hold</t>
        </is>
      </c>
      <c r="C8" s="2" t="inlineStr">
        <is>
          <t>Half day</t>
        </is>
      </c>
      <c r="D8" s="2" t="n">
        <v>4</v>
      </c>
      <c r="E8" s="3" t="n">
        <v>0</v>
      </c>
      <c r="F8" s="3" t="n">
        <v>0</v>
      </c>
      <c r="G8" s="3" t="n">
        <v>0</v>
      </c>
      <c r="H8" s="2" t="inlineStr">
        <is>
          <t>Kids trip</t>
        </is>
      </c>
      <c r="I8" s="2" t="inlineStr">
        <is>
          <t>Internal hold</t>
        </is>
      </c>
    </row>
    <row r="9">
      <c r="A9" s="6" t="inlineStr">
        <is>
          <t>Booked value</t>
        </is>
      </c>
      <c r="B9" s="6" t="n"/>
      <c r="C9" s="6" t="n"/>
      <c r="D9" s="6" t="n"/>
      <c r="E9" s="6">
        <f>SUM(E2:E8)</f>
        <v/>
      </c>
      <c r="F9" s="6">
        <f>SUM(F2:F8)</f>
        <v/>
      </c>
      <c r="G9" s="6">
        <f>SUM(G2:G8)</f>
        <v/>
      </c>
      <c r="H9" s="6" t="n"/>
      <c r="I9" s="6" t="n"/>
    </row>
    <row r="10"/>
    <row r="11">
      <c r="A11" s="7" t="inlineStr">
        <is>
          <t>Booked through Pete Andersen, Chesapeake Charter Connection, 15 pct broker cut. Rate card maintained in deck PP01. Deposits tracked in household budget X03.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