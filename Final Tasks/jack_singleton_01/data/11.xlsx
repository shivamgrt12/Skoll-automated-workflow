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 Log" sheetId="1" state="visible" r:id="rId1"/>
    <sheet xmlns:r="http://schemas.openxmlformats.org/officeDocument/2006/relationships" name="Buyers" sheetId="2" state="visible" r:id="rId2"/>
  </sheets>
  <definedNames>
    <definedName name="_xlnm._FilterDatabase" localSheetId="0" hidden="1">'Catch Log'!$A$1:$J$1</definedName>
    <definedName name="_xlnm._FilterDatabase" localSheetId="1" hidden="1">'Buyers'!$A$1:$E$1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7" customWidth="1" min="10" max="10"/>
  </cols>
  <sheetData>
    <row r="1">
      <c r="A1" s="1" t="inlineStr">
        <is>
          <t>Date</t>
        </is>
      </c>
      <c r="B1" s="1" t="inlineStr">
        <is>
          <t>Trip</t>
        </is>
      </c>
      <c r="C1" s="1" t="inlineStr">
        <is>
          <t>Pots Pulled</t>
        </is>
      </c>
      <c r="D1" s="1" t="inlineStr">
        <is>
          <t>Bushels No.1</t>
        </is>
      </c>
      <c r="E1" s="1" t="inlineStr">
        <is>
          <t>Bushels No.2</t>
        </is>
      </c>
      <c r="F1" s="1" t="inlineStr">
        <is>
          <t>Avg Price/Bu</t>
        </is>
      </c>
      <c r="G1" s="1" t="inlineStr">
        <is>
          <t>Gross $</t>
        </is>
      </c>
      <c r="H1" s="1" t="inlineStr">
        <is>
          <t>Fuel Gal</t>
        </is>
      </c>
      <c r="I1" s="1" t="inlineStr">
        <is>
          <t>Crew</t>
        </is>
      </c>
      <c r="J1" s="1" t="inlineStr">
        <is>
          <t>Notes</t>
        </is>
      </c>
    </row>
    <row r="2">
      <c r="A2" s="2" t="inlineStr">
        <is>
          <t>2025-04-08</t>
        </is>
      </c>
      <c r="B2" s="2" t="inlineStr">
        <is>
          <t>AM</t>
        </is>
      </c>
      <c r="C2" s="2" t="n">
        <v>300</v>
      </c>
      <c r="D2" s="2" t="n">
        <v>9.5</v>
      </c>
      <c r="E2" s="2" t="n">
        <v>4</v>
      </c>
      <c r="F2" s="3" t="n">
        <v>235</v>
      </c>
      <c r="G2" s="3" t="n">
        <v>3172.5</v>
      </c>
      <c r="H2" s="2" t="n">
        <v>58</v>
      </c>
      <c r="I2" s="2" t="inlineStr">
        <is>
          <t>Novak/Johnson</t>
        </is>
      </c>
      <c r="J2" s="2" t="inlineStr">
        <is>
          <t>Cool water, slow start</t>
        </is>
      </c>
    </row>
    <row r="3">
      <c r="A3" s="4" t="inlineStr">
        <is>
          <t>2025-04-15</t>
        </is>
      </c>
      <c r="B3" s="4" t="inlineStr">
        <is>
          <t>AM</t>
        </is>
      </c>
      <c r="C3" s="4" t="n">
        <v>300</v>
      </c>
      <c r="D3" s="4" t="n">
        <v>11</v>
      </c>
      <c r="E3" s="4" t="n">
        <v>5.5</v>
      </c>
      <c r="F3" s="5" t="n">
        <v>228</v>
      </c>
      <c r="G3" s="5" t="n">
        <v>3762</v>
      </c>
      <c r="H3" s="4" t="n">
        <v>60</v>
      </c>
      <c r="I3" s="4" t="inlineStr">
        <is>
          <t>Novak/Rawlings</t>
        </is>
      </c>
      <c r="J3" s="4" t="inlineStr">
        <is>
          <t>Picking up south of Tolly</t>
        </is>
      </c>
    </row>
    <row r="4">
      <c r="A4" s="2" t="inlineStr">
        <is>
          <t>2025-05-06</t>
        </is>
      </c>
      <c r="B4" s="2" t="inlineStr">
        <is>
          <t>AM</t>
        </is>
      </c>
      <c r="C4" s="2" t="n">
        <v>300</v>
      </c>
      <c r="D4" s="2" t="n">
        <v>14.5</v>
      </c>
      <c r="E4" s="2" t="n">
        <v>6</v>
      </c>
      <c r="F4" s="3" t="n">
        <v>205</v>
      </c>
      <c r="G4" s="3" t="n">
        <v>4202.5</v>
      </c>
      <c r="H4" s="2" t="n">
        <v>62</v>
      </c>
      <c r="I4" s="2" t="inlineStr">
        <is>
          <t>Full crew</t>
        </is>
      </c>
      <c r="J4" s="2" t="inlineStr">
        <is>
          <t>Good run, shed soft crabs</t>
        </is>
      </c>
    </row>
    <row r="5">
      <c r="A5" s="4" t="inlineStr">
        <is>
          <t>2025-06-03</t>
        </is>
      </c>
      <c r="B5" s="4" t="inlineStr">
        <is>
          <t>AM</t>
        </is>
      </c>
      <c r="C5" s="4" t="n">
        <v>300</v>
      </c>
      <c r="D5" s="4" t="n">
        <v>16</v>
      </c>
      <c r="E5" s="4" t="n">
        <v>7.5</v>
      </c>
      <c r="F5" s="5" t="n">
        <v>190</v>
      </c>
      <c r="G5" s="5" t="n">
        <v>4465</v>
      </c>
      <c r="H5" s="4" t="n">
        <v>64</v>
      </c>
      <c r="I5" s="4" t="inlineStr">
        <is>
          <t>Full crew</t>
        </is>
      </c>
      <c r="J5" s="4" t="inlineStr">
        <is>
          <t>Peak summer pattern</t>
        </is>
      </c>
    </row>
    <row r="6">
      <c r="A6" s="2" t="inlineStr">
        <is>
          <t>2025-07-22</t>
        </is>
      </c>
      <c r="B6" s="2" t="inlineStr">
        <is>
          <t>AM</t>
        </is>
      </c>
      <c r="C6" s="2" t="n">
        <v>300</v>
      </c>
      <c r="D6" s="2" t="n">
        <v>15.5</v>
      </c>
      <c r="E6" s="2" t="n">
        <v>8</v>
      </c>
      <c r="F6" s="3" t="n">
        <v>182</v>
      </c>
      <c r="G6" s="3" t="n">
        <v>4277</v>
      </c>
      <c r="H6" s="2" t="n">
        <v>63</v>
      </c>
      <c r="I6" s="2" t="inlineStr">
        <is>
          <t>Novak/Johnson</t>
        </is>
      </c>
      <c r="J6" s="2" t="inlineStr">
        <is>
          <t>Heat, early pull</t>
        </is>
      </c>
    </row>
    <row r="7">
      <c r="A7" s="4" t="inlineStr">
        <is>
          <t>2025-08-19</t>
        </is>
      </c>
      <c r="B7" s="4" t="inlineStr">
        <is>
          <t>AM</t>
        </is>
      </c>
      <c r="C7" s="4" t="n">
        <v>300</v>
      </c>
      <c r="D7" s="4" t="n">
        <v>13</v>
      </c>
      <c r="E7" s="4" t="n">
        <v>6.5</v>
      </c>
      <c r="F7" s="5" t="n">
        <v>195</v>
      </c>
      <c r="G7" s="5" t="n">
        <v>3802.5</v>
      </c>
      <c r="H7" s="4" t="n">
        <v>61</v>
      </c>
      <c r="I7" s="4" t="inlineStr">
        <is>
          <t>Full crew</t>
        </is>
      </c>
      <c r="J7" s="4" t="inlineStr">
        <is>
          <t>Storm cut week short</t>
        </is>
      </c>
    </row>
    <row r="8">
      <c r="A8" s="2" t="inlineStr">
        <is>
          <t>2025-09-16</t>
        </is>
      </c>
      <c r="B8" s="2" t="inlineStr">
        <is>
          <t>AM</t>
        </is>
      </c>
      <c r="C8" s="2" t="n">
        <v>300</v>
      </c>
      <c r="D8" s="2" t="n">
        <v>12.5</v>
      </c>
      <c r="E8" s="2" t="n">
        <v>6</v>
      </c>
      <c r="F8" s="3" t="n">
        <v>215</v>
      </c>
      <c r="G8" s="3" t="n">
        <v>3977.5</v>
      </c>
      <c r="H8" s="2" t="n">
        <v>60</v>
      </c>
      <c r="I8" s="2" t="inlineStr">
        <is>
          <t>Novak/Rawlings</t>
        </is>
      </c>
      <c r="J8" s="2" t="inlineStr">
        <is>
          <t>Jimmies running heavy</t>
        </is>
      </c>
    </row>
    <row r="9">
      <c r="A9" s="4" t="inlineStr">
        <is>
          <t>2025-10-14</t>
        </is>
      </c>
      <c r="B9" s="4" t="inlineStr">
        <is>
          <t>AM</t>
        </is>
      </c>
      <c r="C9" s="4" t="n">
        <v>300</v>
      </c>
      <c r="D9" s="4" t="n">
        <v>10</v>
      </c>
      <c r="E9" s="4" t="n">
        <v>5</v>
      </c>
      <c r="F9" s="5" t="n">
        <v>245</v>
      </c>
      <c r="G9" s="5" t="n">
        <v>3675</v>
      </c>
      <c r="H9" s="4" t="n">
        <v>59</v>
      </c>
      <c r="I9" s="4" t="inlineStr">
        <is>
          <t>Novak/Johnson</t>
        </is>
      </c>
      <c r="J9" s="4" t="inlineStr">
        <is>
          <t>Fall fat crabs</t>
        </is>
      </c>
    </row>
    <row r="10">
      <c r="A10" s="2" t="inlineStr">
        <is>
          <t>2025-11-18</t>
        </is>
      </c>
      <c r="B10" s="2" t="inlineStr">
        <is>
          <t>AM</t>
        </is>
      </c>
      <c r="C10" s="2" t="n">
        <v>300</v>
      </c>
      <c r="D10" s="2" t="n">
        <v>6.5</v>
      </c>
      <c r="E10" s="2" t="n">
        <v>3</v>
      </c>
      <c r="F10" s="3" t="n">
        <v>268</v>
      </c>
      <c r="G10" s="3" t="n">
        <v>2546</v>
      </c>
      <c r="H10" s="2" t="n">
        <v>57</v>
      </c>
      <c r="I10" s="2" t="inlineStr">
        <is>
          <t>Novak only</t>
        </is>
      </c>
      <c r="J10" s="2" t="inlineStr">
        <is>
          <t>Season winding down</t>
        </is>
      </c>
    </row>
    <row r="11">
      <c r="A11" s="6" t="inlineStr">
        <is>
          <t>Season totals</t>
        </is>
      </c>
      <c r="B11" s="6" t="n"/>
      <c r="C11" s="6">
        <f>SUM(C2:C10)</f>
        <v/>
      </c>
      <c r="D11" s="6">
        <f>SUM(D2:D10)</f>
        <v/>
      </c>
      <c r="E11" s="6">
        <f>SUM(E2:E10)</f>
        <v/>
      </c>
      <c r="F11" s="6" t="n"/>
      <c r="G11" s="6">
        <f>SUM(G2:G10)</f>
        <v/>
      </c>
      <c r="H11" s="6">
        <f>SUM(H2:H10)</f>
        <v/>
      </c>
      <c r="I11" s="6" t="n"/>
      <c r="J11" s="6" t="n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15" customWidth="1" min="4" max="4"/>
    <col width="16" customWidth="1" min="5" max="5"/>
  </cols>
  <sheetData>
    <row r="1">
      <c r="A1" s="1" t="inlineStr">
        <is>
          <t>Buyer</t>
        </is>
      </c>
      <c r="B1" s="1" t="inlineStr">
        <is>
          <t>Contact</t>
        </is>
      </c>
      <c r="C1" s="1" t="inlineStr">
        <is>
          <t>Standing</t>
        </is>
      </c>
      <c r="D1" s="1" t="inlineStr">
        <is>
          <t>Settlement</t>
        </is>
      </c>
      <c r="E1" s="1" t="inlineStr">
        <is>
          <t>Share of Sales</t>
        </is>
      </c>
    </row>
    <row r="2">
      <c r="A2" s="2" t="inlineStr">
        <is>
          <t>Wye River Seafood</t>
        </is>
      </c>
      <c r="B2" s="2" t="inlineStr">
        <is>
          <t>(410) 555-0631</t>
        </is>
      </c>
      <c r="C2" s="2" t="inlineStr">
        <is>
          <t>Primary wholesale</t>
        </is>
      </c>
      <c r="D2" s="2" t="inlineStr">
        <is>
          <t>Weekly check</t>
        </is>
      </c>
      <c r="E2" s="2" t="inlineStr">
        <is>
          <t>45 pct</t>
        </is>
      </c>
    </row>
    <row r="3">
      <c r="A3" s="4" t="inlineStr">
        <is>
          <t>Annapolis Crab Pickers</t>
        </is>
      </c>
      <c r="B3" s="4" t="inlineStr">
        <is>
          <t>(410) 555-0648</t>
        </is>
      </c>
      <c r="C3" s="4" t="inlineStr">
        <is>
          <t>Secondary wholesale</t>
        </is>
      </c>
      <c r="D3" s="4" t="inlineStr">
        <is>
          <t>Weekly check</t>
        </is>
      </c>
      <c r="E3" s="4" t="inlineStr">
        <is>
          <t>30 pct</t>
        </is>
      </c>
    </row>
    <row r="4">
      <c r="A4" s="2" t="inlineStr">
        <is>
          <t>Dockside walk-up</t>
        </is>
      </c>
      <c r="B4" s="2" t="inlineStr">
        <is>
          <t>Slip 47 cash sales</t>
        </is>
      </c>
      <c r="C4" s="2" t="inlineStr">
        <is>
          <t>Retail</t>
        </is>
      </c>
      <c r="D4" s="2" t="inlineStr">
        <is>
          <t>Same day cash</t>
        </is>
      </c>
      <c r="E4" s="2" t="inlineStr">
        <is>
          <t>25 pct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