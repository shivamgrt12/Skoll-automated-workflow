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>
    <definedName name="_xlnm._FilterDatabase" localSheetId="0" hidden="1">'Payroll'!$A$1:$K$1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2E"/>
    </font>
    <font>
      <b val="1"/>
      <color rgb="00FFFFFF"/>
      <sz val="10"/>
    </font>
    <font>
      <i val="1"/>
      <color rgb="006E7479"/>
      <sz val="9"/>
    </font>
  </fonts>
  <fills count="6">
    <fill>
      <patternFill/>
    </fill>
    <fill>
      <patternFill patternType="gray125"/>
    </fill>
    <fill>
      <patternFill patternType="solid">
        <fgColor rgb="00EAE2CF"/>
      </patternFill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Pay Period</t>
        </is>
      </c>
      <c r="B1" s="1" t="inlineStr">
        <is>
          <t>Crew</t>
        </is>
      </c>
      <c r="C1" s="1" t="inlineStr">
        <is>
          <t>Role</t>
        </is>
      </c>
      <c r="D1" s="1" t="inlineStr">
        <is>
          <t>Days</t>
        </is>
      </c>
      <c r="E1" s="1" t="inlineStr">
        <is>
          <t>Day Rate</t>
        </is>
      </c>
      <c r="F1" s="1" t="inlineStr">
        <is>
          <t>Gross</t>
        </is>
      </c>
      <c r="G1" s="1" t="inlineStr">
        <is>
          <t>Fed W/H</t>
        </is>
      </c>
      <c r="H1" s="1" t="inlineStr">
        <is>
          <t>State W/H</t>
        </is>
      </c>
      <c r="I1" s="1" t="inlineStr">
        <is>
          <t>FICA</t>
        </is>
      </c>
      <c r="J1" s="1" t="inlineStr">
        <is>
          <t>Net Pay</t>
        </is>
      </c>
      <c r="K1" s="1" t="inlineStr">
        <is>
          <t>Vendor Ref</t>
        </is>
      </c>
    </row>
    <row r="2">
      <c r="A2" s="2" t="inlineStr">
        <is>
          <t>2025-10-01 to 2025-10-15</t>
        </is>
      </c>
      <c r="B2" s="2" t="inlineStr">
        <is>
          <t>Tommy Novak</t>
        </is>
      </c>
      <c r="C2" s="2" t="inlineStr">
        <is>
          <t>First mate</t>
        </is>
      </c>
      <c r="D2" s="2" t="n">
        <v>11</v>
      </c>
      <c r="E2" s="3" t="n">
        <v>220</v>
      </c>
      <c r="F2" s="3" t="n">
        <v>2420</v>
      </c>
      <c r="G2" s="3" t="n">
        <v>242</v>
      </c>
      <c r="H2" s="3" t="n">
        <v>114.95</v>
      </c>
      <c r="I2" s="3" t="n">
        <v>185.13</v>
      </c>
      <c r="J2" s="3" t="n">
        <v>1877.92</v>
      </c>
      <c r="K2" s="2" t="inlineStr">
        <is>
          <t>APS-2025-001</t>
        </is>
      </c>
    </row>
    <row r="3">
      <c r="A3" s="4" t="inlineStr">
        <is>
          <t>2025-10-01 to 2025-10-15</t>
        </is>
      </c>
      <c r="B3" s="4" t="inlineStr">
        <is>
          <t>D.J. Johnson</t>
        </is>
      </c>
      <c r="C3" s="4" t="inlineStr">
        <is>
          <t>Deckhand</t>
        </is>
      </c>
      <c r="D3" s="4" t="n">
        <v>10</v>
      </c>
      <c r="E3" s="5" t="n">
        <v>175</v>
      </c>
      <c r="F3" s="5" t="n">
        <v>1750</v>
      </c>
      <c r="G3" s="5" t="n">
        <v>175</v>
      </c>
      <c r="H3" s="5" t="n">
        <v>83.12</v>
      </c>
      <c r="I3" s="5" t="n">
        <v>133.88</v>
      </c>
      <c r="J3" s="5" t="n">
        <v>1358</v>
      </c>
      <c r="K3" s="4" t="inlineStr">
        <is>
          <t>APS-2025-001</t>
        </is>
      </c>
    </row>
    <row r="4">
      <c r="A4" s="2" t="inlineStr">
        <is>
          <t>2025-10-01 to 2025-10-15</t>
        </is>
      </c>
      <c r="B4" s="2" t="inlineStr">
        <is>
          <t>Mike Rawlings</t>
        </is>
      </c>
      <c r="C4" s="2" t="inlineStr">
        <is>
          <t>Deckhand</t>
        </is>
      </c>
      <c r="D4" s="2" t="n">
        <v>9</v>
      </c>
      <c r="E4" s="3" t="n">
        <v>160</v>
      </c>
      <c r="F4" s="3" t="n">
        <v>1440</v>
      </c>
      <c r="G4" s="3" t="n">
        <v>144</v>
      </c>
      <c r="H4" s="3" t="n">
        <v>68.40000000000001</v>
      </c>
      <c r="I4" s="3" t="n">
        <v>110.16</v>
      </c>
      <c r="J4" s="3" t="n">
        <v>1117.44</v>
      </c>
      <c r="K4" s="2" t="inlineStr">
        <is>
          <t>APS-2025-001</t>
        </is>
      </c>
    </row>
    <row r="5">
      <c r="A5" s="4" t="inlineStr">
        <is>
          <t>2025-10-16 to 2025-10-31</t>
        </is>
      </c>
      <c r="B5" s="4" t="inlineStr">
        <is>
          <t>Tommy Novak</t>
        </is>
      </c>
      <c r="C5" s="4" t="inlineStr">
        <is>
          <t>First mate</t>
        </is>
      </c>
      <c r="D5" s="4" t="n">
        <v>11</v>
      </c>
      <c r="E5" s="5" t="n">
        <v>220</v>
      </c>
      <c r="F5" s="5" t="n">
        <v>2420</v>
      </c>
      <c r="G5" s="5" t="n">
        <v>242</v>
      </c>
      <c r="H5" s="5" t="n">
        <v>114.95</v>
      </c>
      <c r="I5" s="5" t="n">
        <v>185.13</v>
      </c>
      <c r="J5" s="5" t="n">
        <v>1877.92</v>
      </c>
      <c r="K5" s="4" t="inlineStr">
        <is>
          <t>APS-2025-004</t>
        </is>
      </c>
    </row>
    <row r="6">
      <c r="A6" s="2" t="inlineStr">
        <is>
          <t>2025-10-16 to 2025-10-31</t>
        </is>
      </c>
      <c r="B6" s="2" t="inlineStr">
        <is>
          <t>D.J. Johnson</t>
        </is>
      </c>
      <c r="C6" s="2" t="inlineStr">
        <is>
          <t>Deckhand</t>
        </is>
      </c>
      <c r="D6" s="2" t="n">
        <v>10</v>
      </c>
      <c r="E6" s="3" t="n">
        <v>175</v>
      </c>
      <c r="F6" s="3" t="n">
        <v>1750</v>
      </c>
      <c r="G6" s="3" t="n">
        <v>175</v>
      </c>
      <c r="H6" s="3" t="n">
        <v>83.12</v>
      </c>
      <c r="I6" s="3" t="n">
        <v>133.88</v>
      </c>
      <c r="J6" s="3" t="n">
        <v>1358</v>
      </c>
      <c r="K6" s="2" t="inlineStr">
        <is>
          <t>APS-2025-004</t>
        </is>
      </c>
    </row>
    <row r="7">
      <c r="A7" s="4" t="inlineStr">
        <is>
          <t>2025-10-16 to 2025-10-31</t>
        </is>
      </c>
      <c r="B7" s="4" t="inlineStr">
        <is>
          <t>Mike Rawlings</t>
        </is>
      </c>
      <c r="C7" s="4" t="inlineStr">
        <is>
          <t>Deckhand</t>
        </is>
      </c>
      <c r="D7" s="4" t="n">
        <v>9</v>
      </c>
      <c r="E7" s="5" t="n">
        <v>160</v>
      </c>
      <c r="F7" s="5" t="n">
        <v>1440</v>
      </c>
      <c r="G7" s="5" t="n">
        <v>144</v>
      </c>
      <c r="H7" s="5" t="n">
        <v>68.40000000000001</v>
      </c>
      <c r="I7" s="5" t="n">
        <v>110.16</v>
      </c>
      <c r="J7" s="5" t="n">
        <v>1117.44</v>
      </c>
      <c r="K7" s="4" t="inlineStr">
        <is>
          <t>APS-2025-004</t>
        </is>
      </c>
    </row>
    <row r="8">
      <c r="A8" s="2" t="inlineStr">
        <is>
          <t>2025-11-01 to 2025-11-15</t>
        </is>
      </c>
      <c r="B8" s="2" t="inlineStr">
        <is>
          <t>Tommy Novak</t>
        </is>
      </c>
      <c r="C8" s="2" t="inlineStr">
        <is>
          <t>First mate</t>
        </is>
      </c>
      <c r="D8" s="2" t="n">
        <v>11</v>
      </c>
      <c r="E8" s="3" t="n">
        <v>220</v>
      </c>
      <c r="F8" s="3" t="n">
        <v>2420</v>
      </c>
      <c r="G8" s="3" t="n">
        <v>242</v>
      </c>
      <c r="H8" s="3" t="n">
        <v>114.95</v>
      </c>
      <c r="I8" s="3" t="n">
        <v>185.13</v>
      </c>
      <c r="J8" s="3" t="n">
        <v>1877.92</v>
      </c>
      <c r="K8" s="2" t="inlineStr">
        <is>
          <t>APS-2025-007</t>
        </is>
      </c>
    </row>
    <row r="9">
      <c r="A9" s="4" t="inlineStr">
        <is>
          <t>2025-11-01 to 2025-11-15</t>
        </is>
      </c>
      <c r="B9" s="4" t="inlineStr">
        <is>
          <t>D.J. Johnson</t>
        </is>
      </c>
      <c r="C9" s="4" t="inlineStr">
        <is>
          <t>Deckhand</t>
        </is>
      </c>
      <c r="D9" s="4" t="n">
        <v>10</v>
      </c>
      <c r="E9" s="5" t="n">
        <v>175</v>
      </c>
      <c r="F9" s="5" t="n">
        <v>1750</v>
      </c>
      <c r="G9" s="5" t="n">
        <v>175</v>
      </c>
      <c r="H9" s="5" t="n">
        <v>83.12</v>
      </c>
      <c r="I9" s="5" t="n">
        <v>133.88</v>
      </c>
      <c r="J9" s="5" t="n">
        <v>1358</v>
      </c>
      <c r="K9" s="4" t="inlineStr">
        <is>
          <t>APS-2025-007</t>
        </is>
      </c>
    </row>
    <row r="10">
      <c r="A10" s="2" t="inlineStr">
        <is>
          <t>2025-11-01 to 2025-11-15</t>
        </is>
      </c>
      <c r="B10" s="2" t="inlineStr">
        <is>
          <t>Mike Rawlings</t>
        </is>
      </c>
      <c r="C10" s="2" t="inlineStr">
        <is>
          <t>Deckhand</t>
        </is>
      </c>
      <c r="D10" s="2" t="n">
        <v>9</v>
      </c>
      <c r="E10" s="3" t="n">
        <v>160</v>
      </c>
      <c r="F10" s="3" t="n">
        <v>1440</v>
      </c>
      <c r="G10" s="3" t="n">
        <v>144</v>
      </c>
      <c r="H10" s="3" t="n">
        <v>68.40000000000001</v>
      </c>
      <c r="I10" s="3" t="n">
        <v>110.16</v>
      </c>
      <c r="J10" s="3" t="n">
        <v>1117.44</v>
      </c>
      <c r="K10" s="2" t="inlineStr">
        <is>
          <t>APS-2025-007</t>
        </is>
      </c>
    </row>
    <row r="11">
      <c r="A11" s="4" t="inlineStr">
        <is>
          <t>2025-11-16 to 2025-11-30</t>
        </is>
      </c>
      <c r="B11" s="4" t="inlineStr">
        <is>
          <t>Tommy Novak</t>
        </is>
      </c>
      <c r="C11" s="4" t="inlineStr">
        <is>
          <t>First mate</t>
        </is>
      </c>
      <c r="D11" s="4" t="n">
        <v>11</v>
      </c>
      <c r="E11" s="5" t="n">
        <v>220</v>
      </c>
      <c r="F11" s="5" t="n">
        <v>2420</v>
      </c>
      <c r="G11" s="5" t="n">
        <v>242</v>
      </c>
      <c r="H11" s="5" t="n">
        <v>114.95</v>
      </c>
      <c r="I11" s="5" t="n">
        <v>185.13</v>
      </c>
      <c r="J11" s="5" t="n">
        <v>1877.92</v>
      </c>
      <c r="K11" s="4" t="inlineStr">
        <is>
          <t>APS-2025-010</t>
        </is>
      </c>
    </row>
    <row r="12">
      <c r="A12" s="2" t="inlineStr">
        <is>
          <t>2025-11-16 to 2025-11-30</t>
        </is>
      </c>
      <c r="B12" s="2" t="inlineStr">
        <is>
          <t>D.J. Johnson</t>
        </is>
      </c>
      <c r="C12" s="2" t="inlineStr">
        <is>
          <t>Deckhand</t>
        </is>
      </c>
      <c r="D12" s="2" t="n">
        <v>10</v>
      </c>
      <c r="E12" s="3" t="n">
        <v>175</v>
      </c>
      <c r="F12" s="3" t="n">
        <v>1750</v>
      </c>
      <c r="G12" s="3" t="n">
        <v>175</v>
      </c>
      <c r="H12" s="3" t="n">
        <v>83.12</v>
      </c>
      <c r="I12" s="3" t="n">
        <v>133.88</v>
      </c>
      <c r="J12" s="3" t="n">
        <v>1358</v>
      </c>
      <c r="K12" s="2" t="inlineStr">
        <is>
          <t>APS-2025-010</t>
        </is>
      </c>
    </row>
    <row r="13">
      <c r="A13" s="4" t="inlineStr">
        <is>
          <t>2025-11-16 to 2025-11-30</t>
        </is>
      </c>
      <c r="B13" s="4" t="inlineStr">
        <is>
          <t>Mike Rawlings</t>
        </is>
      </c>
      <c r="C13" s="4" t="inlineStr">
        <is>
          <t>Deckhand</t>
        </is>
      </c>
      <c r="D13" s="4" t="n">
        <v>9</v>
      </c>
      <c r="E13" s="5" t="n">
        <v>160</v>
      </c>
      <c r="F13" s="5" t="n">
        <v>1440</v>
      </c>
      <c r="G13" s="5" t="n">
        <v>144</v>
      </c>
      <c r="H13" s="5" t="n">
        <v>68.40000000000001</v>
      </c>
      <c r="I13" s="5" t="n">
        <v>110.16</v>
      </c>
      <c r="J13" s="5" t="n">
        <v>1117.44</v>
      </c>
      <c r="K13" s="4" t="inlineStr">
        <is>
          <t>APS-2025-010</t>
        </is>
      </c>
    </row>
    <row r="14">
      <c r="A14" s="6" t="inlineStr">
        <is>
          <t>Payroll totals</t>
        </is>
      </c>
      <c r="B14" s="6" t="n"/>
      <c r="C14" s="6" t="n"/>
      <c r="D14" s="6" t="n"/>
      <c r="E14" s="6" t="n"/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  <c r="J14" s="6">
        <f>SUM(J2:J13)</f>
        <v/>
      </c>
      <c r="K14" s="6" t="n"/>
    </row>
    <row r="16">
      <c r="A16" s="7" t="inlineStr">
        <is>
          <t>Processed through Annapolis Payroll Services. Workers comp and crew handbook terms tracked in D02. Cash flow heavy April to November per budget workbook X03.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