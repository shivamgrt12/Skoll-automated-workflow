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30" customWidth="1" min="5" max="5"/>
  </cols>
  <sheetData>
    <row r="1">
      <c r="A1" s="1" t="inlineStr">
        <is>
          <t>Bread Formulas, Baker's Percentages and Batch Scaling</t>
        </is>
      </c>
    </row>
    <row r="2">
      <c r="A2" s="2" t="inlineStr">
        <is>
          <t>Flour is 100 percent. Every other weight is a percent of total flour.</t>
        </is>
      </c>
    </row>
    <row r="4">
      <c r="A4" s="2" t="inlineStr">
        <is>
          <t>Country Sourdough (10 kg flour)</t>
        </is>
      </c>
    </row>
    <row r="5">
      <c r="A5" s="3" t="inlineStr">
        <is>
          <t>Ingredient</t>
        </is>
      </c>
      <c r="B5" s="3" t="inlineStr">
        <is>
          <t>Baker %</t>
        </is>
      </c>
      <c r="C5" s="3" t="inlineStr">
        <is>
          <t>Weight (g)</t>
        </is>
      </c>
      <c r="D5" s="3" t="inlineStr"/>
      <c r="E5" s="3" t="inlineStr"/>
    </row>
    <row r="6">
      <c r="A6" t="inlineStr">
        <is>
          <t>Flour</t>
        </is>
      </c>
      <c r="B6" s="4" t="n">
        <v>1</v>
      </c>
      <c r="C6" s="5" t="n">
        <v>10000</v>
      </c>
    </row>
    <row r="7">
      <c r="A7" t="inlineStr">
        <is>
          <t>Water</t>
        </is>
      </c>
      <c r="B7" s="4" t="n">
        <v>0.75</v>
      </c>
      <c r="C7" s="5">
        <f>$C$6*B7</f>
        <v/>
      </c>
    </row>
    <row r="8">
      <c r="A8" t="inlineStr">
        <is>
          <t>Levain</t>
        </is>
      </c>
      <c r="B8" s="4" t="n">
        <v>0.2</v>
      </c>
      <c r="C8" s="5">
        <f>$C$6*B8</f>
        <v/>
      </c>
    </row>
    <row r="9">
      <c r="A9" t="inlineStr">
        <is>
          <t>Salt</t>
        </is>
      </c>
      <c r="B9" s="4" t="n">
        <v>0.02</v>
      </c>
      <c r="C9" s="5">
        <f>$C$6*B9</f>
        <v/>
      </c>
    </row>
    <row r="10">
      <c r="A10" s="2" t="inlineStr">
        <is>
          <t>Total dough</t>
        </is>
      </c>
      <c r="C10" s="6">
        <f>SUM(C6:C9)</f>
        <v/>
      </c>
    </row>
    <row r="11">
      <c r="E11" t="inlineStr">
        <is>
          <t>Hydration about 79% with the levain counted</t>
        </is>
      </c>
    </row>
    <row r="12">
      <c r="A12" s="2" t="inlineStr">
        <is>
          <t>Baguette (5 kg flour)</t>
        </is>
      </c>
    </row>
    <row r="13">
      <c r="A13" s="3" t="inlineStr">
        <is>
          <t>Ingredient</t>
        </is>
      </c>
      <c r="B13" s="3" t="inlineStr">
        <is>
          <t>Baker %</t>
        </is>
      </c>
      <c r="C13" s="3" t="inlineStr">
        <is>
          <t>Weight (g)</t>
        </is>
      </c>
      <c r="D13" s="3" t="inlineStr"/>
      <c r="E13" s="3" t="inlineStr"/>
    </row>
    <row r="14">
      <c r="A14" t="inlineStr">
        <is>
          <t>Flour</t>
        </is>
      </c>
      <c r="B14" s="4" t="n">
        <v>1</v>
      </c>
      <c r="C14" s="5" t="n">
        <v>5000</v>
      </c>
    </row>
    <row r="15">
      <c r="A15" t="inlineStr">
        <is>
          <t>Water</t>
        </is>
      </c>
      <c r="B15" s="4" t="n">
        <v>0.72</v>
      </c>
      <c r="C15" s="5">
        <f>$C$14*B15</f>
        <v/>
      </c>
    </row>
    <row r="16">
      <c r="A16" t="inlineStr">
        <is>
          <t>Salt</t>
        </is>
      </c>
      <c r="B16" s="4" t="n">
        <v>0.02</v>
      </c>
      <c r="C16" s="5">
        <f>$C$14*B16</f>
        <v/>
      </c>
    </row>
    <row r="17">
      <c r="A17" t="inlineStr">
        <is>
          <t>Yeast</t>
        </is>
      </c>
      <c r="B17" s="4" t="n">
        <v>0.006</v>
      </c>
      <c r="C17" s="5">
        <f>$C$14*B17</f>
        <v/>
      </c>
    </row>
    <row r="18">
      <c r="A18" s="2" t="inlineStr">
        <is>
          <t>Total dough</t>
        </is>
      </c>
      <c r="C18" s="6">
        <f>SUM(C14:C17)</f>
        <v/>
      </c>
    </row>
    <row r="20">
      <c r="A20" s="2" t="inlineStr">
        <is>
          <t>Brioche (3 kg flour)</t>
        </is>
      </c>
    </row>
    <row r="21">
      <c r="A21" s="3" t="inlineStr">
        <is>
          <t>Ingredient</t>
        </is>
      </c>
      <c r="B21" s="3" t="inlineStr">
        <is>
          <t>Baker %</t>
        </is>
      </c>
      <c r="C21" s="3" t="inlineStr">
        <is>
          <t>Weight (g)</t>
        </is>
      </c>
      <c r="D21" s="3" t="inlineStr"/>
      <c r="E21" s="3" t="inlineStr"/>
    </row>
    <row r="22">
      <c r="A22" t="inlineStr">
        <is>
          <t>Flour</t>
        </is>
      </c>
      <c r="B22" s="4" t="n">
        <v>1</v>
      </c>
      <c r="C22" s="5" t="n">
        <v>3000</v>
      </c>
    </row>
    <row r="23">
      <c r="A23" t="inlineStr">
        <is>
          <t>Eggs</t>
        </is>
      </c>
      <c r="B23" s="4" t="n">
        <v>0.5</v>
      </c>
      <c r="C23" s="5">
        <f>$C$22*B23</f>
        <v/>
      </c>
    </row>
    <row r="24">
      <c r="A24" t="inlineStr">
        <is>
          <t>Butter</t>
        </is>
      </c>
      <c r="B24" s="4" t="n">
        <v>0.5</v>
      </c>
      <c r="C24" s="5">
        <f>$C$22*B24</f>
        <v/>
      </c>
    </row>
    <row r="25">
      <c r="A25" t="inlineStr">
        <is>
          <t>Milk</t>
        </is>
      </c>
      <c r="B25" s="4" t="n">
        <v>0.2</v>
      </c>
      <c r="C25" s="5">
        <f>$C$22*B25</f>
        <v/>
      </c>
    </row>
    <row r="26">
      <c r="A26" t="inlineStr">
        <is>
          <t>Sugar</t>
        </is>
      </c>
      <c r="B26" s="4" t="n">
        <v>0.12</v>
      </c>
      <c r="C26" s="5">
        <f>$C$22*B26</f>
        <v/>
      </c>
    </row>
    <row r="27">
      <c r="A27" t="inlineStr">
        <is>
          <t>Salt</t>
        </is>
      </c>
      <c r="B27" s="4" t="n">
        <v>0.02</v>
      </c>
      <c r="C27" s="5">
        <f>$C$22*B27</f>
        <v/>
      </c>
    </row>
    <row r="28">
      <c r="A28" t="inlineStr">
        <is>
          <t>Yeast</t>
        </is>
      </c>
      <c r="B28" s="4" t="n">
        <v>0.012</v>
      </c>
      <c r="C28" s="5">
        <f>$C$22*B28</f>
        <v/>
      </c>
    </row>
    <row r="29">
      <c r="A29" s="2" t="inlineStr">
        <is>
          <t>Total dough</t>
        </is>
      </c>
      <c r="C29" s="6">
        <f>SUM(C22:C28)</f>
        <v/>
      </c>
    </row>
    <row r="31">
      <c r="A31" t="inlineStr">
        <is>
          <t>Note: scale by changing only the flour weight, the formulas hold the ratios. Do not round the hydration, it shows in the crumb.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David Porter</dc:creator>
  <dcterms:created xmlns:dcterms="http://purl.org/dc/terms/" xmlns:xsi="http://www.w3.org/2001/XMLSchema-instance" xsi:type="dcterms:W3CDTF">2026-02-10T07:00:00Z</dcterms:created>
  <dcterms:modified xmlns:dcterms="http://purl.org/dc/terms/" xmlns:xsi="http://www.w3.org/2001/XMLSchema-instance" xsi:type="dcterms:W3CDTF">2026-02-10T07:00:00Z</dcterms:modified>
  <cp:lastModifiedBy>David Porter</cp:lastModifiedBy>
</cp:coreProperties>
</file>