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Food Cost Analysis, October 2026</t>
        </is>
      </c>
    </row>
    <row r="2">
      <c r="A2" s="2" t="inlineStr">
        <is>
          <t>Ingredient spend against revenue. Target 28 percent.</t>
        </is>
      </c>
    </row>
    <row r="4">
      <c r="A4" s="3" t="inlineStr">
        <is>
          <t>Category</t>
        </is>
      </c>
      <c r="B4" s="3" t="inlineStr">
        <is>
          <t>Spend</t>
        </is>
      </c>
      <c r="C4" s="3" t="inlineStr">
        <is>
          <t>Prior quarter</t>
        </is>
      </c>
      <c r="D4" s="3" t="inlineStr">
        <is>
          <t>Note</t>
        </is>
      </c>
    </row>
    <row r="5">
      <c r="A5" t="inlineStr">
        <is>
          <t>Flour and grains</t>
        </is>
      </c>
      <c r="B5" s="4" t="n">
        <v>3180</v>
      </c>
      <c r="C5" s="4" t="n">
        <v>2765</v>
      </c>
      <c r="D5" t="inlineStr">
        <is>
          <t>Up 15% on the step change</t>
        </is>
      </c>
    </row>
    <row r="6">
      <c r="A6" t="inlineStr">
        <is>
          <t>Butter and dairy</t>
        </is>
      </c>
      <c r="B6" s="4" t="n">
        <v>3540</v>
      </c>
      <c r="C6" s="4" t="n">
        <v>3380</v>
      </c>
      <c r="D6" t="inlineStr"/>
    </row>
    <row r="7">
      <c r="A7" t="inlineStr">
        <is>
          <t>Chocolate and cocoa</t>
        </is>
      </c>
      <c r="B7" s="4" t="n">
        <v>1420</v>
      </c>
      <c r="C7" s="4" t="n">
        <v>1390</v>
      </c>
      <c r="D7" t="inlineStr"/>
    </row>
    <row r="8">
      <c r="A8" t="inlineStr">
        <is>
          <t>Sugar and sweeteners</t>
        </is>
      </c>
      <c r="B8" s="4" t="n">
        <v>980</v>
      </c>
      <c r="C8" s="4" t="n">
        <v>955</v>
      </c>
      <c r="D8" t="inlineStr"/>
    </row>
    <row r="9">
      <c r="A9" t="inlineStr">
        <is>
          <t>Eggs</t>
        </is>
      </c>
      <c r="B9" s="4" t="n">
        <v>1260</v>
      </c>
      <c r="C9" s="4" t="n">
        <v>1190</v>
      </c>
      <c r="D9" t="inlineStr">
        <is>
          <t>seasonal</t>
        </is>
      </c>
    </row>
    <row r="10">
      <c r="A10" t="inlineStr">
        <is>
          <t>Fruit, flowers, fillings</t>
        </is>
      </c>
      <c r="B10" s="4" t="n">
        <v>1640</v>
      </c>
      <c r="C10" s="4" t="n">
        <v>1505</v>
      </c>
      <c r="D10" t="inlineStr">
        <is>
          <t>wedding season</t>
        </is>
      </c>
    </row>
    <row r="11">
      <c r="A11" t="inlineStr">
        <is>
          <t>Flavorings, leaveners, misc</t>
        </is>
      </c>
      <c r="B11" s="4" t="n">
        <v>1250</v>
      </c>
      <c r="C11" s="4" t="n">
        <v>1230</v>
      </c>
      <c r="D11" t="inlineStr"/>
    </row>
    <row r="12">
      <c r="A12" s="2" t="inlineStr">
        <is>
          <t>Total food cost</t>
        </is>
      </c>
      <c r="B12" s="5">
        <f>SUM(B5:B11)</f>
        <v/>
      </c>
    </row>
    <row r="14">
      <c r="A14" t="inlineStr">
        <is>
          <t>Revenue (October)</t>
        </is>
      </c>
      <c r="B14" s="4" t="n">
        <v>42800</v>
      </c>
    </row>
    <row r="15">
      <c r="A15" t="inlineStr">
        <is>
          <t>Food cost percent</t>
        </is>
      </c>
      <c r="B15" s="6">
        <f>B12/B14</f>
        <v/>
      </c>
    </row>
    <row r="16">
      <c r="A16" t="inlineStr">
        <is>
          <t>Target percent</t>
        </is>
      </c>
      <c r="B16" s="6" t="n">
        <v>0.28</v>
      </c>
    </row>
    <row r="17">
      <c r="A17" t="inlineStr">
        <is>
          <t>Target spend at 28%</t>
        </is>
      </c>
      <c r="B17" s="4">
        <f>B14*0.28</f>
        <v/>
      </c>
    </row>
    <row r="18">
      <c r="A18" t="inlineStr">
        <is>
          <t>Overshoot</t>
        </is>
      </c>
      <c r="B18" s="5">
        <f>B12-B14*0.28</f>
        <v/>
      </c>
    </row>
    <row r="20">
      <c r="A20" t="inlineStr">
        <is>
          <t>Flour alone is about $415 of the overshoot. Moving all purpose to a second mill recovers roughly half. Wholesale price needs a small pass 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David Porter</dc:creator>
  <dcterms:created xmlns:dcterms="http://purl.org/dc/terms/" xmlns:xsi="http://www.w3.org/2001/XMLSchema-instance" xsi:type="dcterms:W3CDTF">2026-11-01T10:00:00Z</dcterms:created>
  <dcterms:modified xmlns:dcterms="http://purl.org/dc/terms/" xmlns:xsi="http://www.w3.org/2001/XMLSchema-instance" xsi:type="dcterms:W3CDTF">2026-11-01T10:00:00Z</dcterms:modified>
  <cp:lastModifiedBy>David Porter</cp:lastModifiedBy>
</cp:coreProperties>
</file>