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fe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pivotButton="0" quotePrefix="0" xfId="0"/>
    <xf numFmtId="164" fontId="0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Yi Baiti"/>
        <a:font script="Tibt" typeface="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Yi Baiti"/>
        <a:font script="Tibt" typeface="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30" customWidth="1" min="3" max="3"/>
  </cols>
  <sheetData>
    <row r="1">
      <c r="A1" s="1" t="inlineStr">
        <is>
          <t>Cafe Expansion Budget</t>
        </is>
      </c>
    </row>
    <row r="2">
      <c r="A2" s="2" t="inlineStr">
        <is>
          <t>8 seat counter addition. Based on the formal estimate from Davidson Builders.</t>
        </is>
      </c>
    </row>
    <row r="4">
      <c r="A4" s="3" t="inlineStr">
        <is>
          <t>Project cost</t>
        </is>
      </c>
      <c r="B4" s="3" t="inlineStr">
        <is>
          <t>Amount</t>
        </is>
      </c>
      <c r="C4" s="3" t="inlineStr">
        <is>
          <t>Note</t>
        </is>
      </c>
    </row>
    <row r="5">
      <c r="A5" t="inlineStr">
        <is>
          <t>Construction (contractor estimate)</t>
        </is>
      </c>
      <c r="B5" s="4" t="n">
        <v>52400</v>
      </c>
      <c r="C5" t="inlineStr">
        <is>
          <t>itemized in the estimate</t>
        </is>
      </c>
    </row>
    <row r="6">
      <c r="A6" t="inlineStr">
        <is>
          <t>Espresso machine and grinder</t>
        </is>
      </c>
      <c r="B6" s="4" t="n">
        <v>6800</v>
      </c>
    </row>
    <row r="7">
      <c r="A7" t="inlineStr">
        <is>
          <t>Refrigeration and small wares</t>
        </is>
      </c>
      <c r="B7" s="4" t="n">
        <v>3000</v>
      </c>
    </row>
    <row r="8">
      <c r="A8" t="inlineStr">
        <is>
          <t>Signage and exterior</t>
        </is>
      </c>
      <c r="B8" s="4" t="n">
        <v>1400</v>
      </c>
    </row>
    <row r="9">
      <c r="A9" t="inlineStr">
        <is>
          <t>Contingency</t>
        </is>
      </c>
      <c r="B9" s="4" t="n">
        <v>2400</v>
      </c>
      <c r="C9" t="inlineStr">
        <is>
          <t>about 4 percent</t>
        </is>
      </c>
    </row>
    <row r="10">
      <c r="A10" s="2" t="inlineStr">
        <is>
          <t>Total project cost</t>
        </is>
      </c>
      <c r="B10" s="5">
        <f>SUM(B5:B9)</f>
        <v/>
      </c>
    </row>
    <row r="12">
      <c r="A12" s="3" t="inlineStr">
        <is>
          <t>Funding source</t>
        </is>
      </c>
      <c r="B12" s="3" t="inlineStr">
        <is>
          <t>Amount</t>
        </is>
      </c>
      <c r="C12" s="3" t="inlineStr">
        <is>
          <t>Note</t>
        </is>
      </c>
    </row>
    <row r="13">
      <c r="A13" t="inlineStr">
        <is>
          <t>Business line of credit</t>
        </is>
      </c>
      <c r="B13" s="4" t="n">
        <v>40000</v>
      </c>
      <c r="C13" t="inlineStr">
        <is>
          <t>to be arranged with Providence Credit Union</t>
        </is>
      </c>
    </row>
    <row r="14">
      <c r="A14" t="inlineStr">
        <is>
          <t>Emergency fund draw</t>
        </is>
      </c>
      <c r="B14" s="4" t="n">
        <v>15000</v>
      </c>
      <c r="C14" t="inlineStr">
        <is>
          <t>leaves a working cushion</t>
        </is>
      </c>
    </row>
    <row r="15">
      <c r="A15" t="inlineStr">
        <is>
          <t>Operating cash reserve</t>
        </is>
      </c>
      <c r="B15" s="4" t="n">
        <v>11000</v>
      </c>
    </row>
    <row r="16">
      <c r="A16" s="2" t="inlineStr">
        <is>
          <t>Total funding</t>
        </is>
      </c>
      <c r="B16" s="5">
        <f>SUM(B13:B15)</f>
        <v/>
      </c>
    </row>
    <row r="17">
      <c r="A17" t="inlineStr">
        <is>
          <t>Funding less cost</t>
        </is>
      </c>
      <c r="B17" s="4">
        <f>B16-B10</f>
        <v/>
      </c>
    </row>
    <row r="19">
      <c r="A19" t="inlineStr">
        <is>
          <t>Projection: 8 seats, modest coffee and pastry attach. If it adds even $250 a day across the open week, that is about $6,500 a month gross, payback under two years before the loan cost.</t>
        </is>
      </c>
    </row>
    <row r="20">
      <c r="A20" t="inlineStr">
        <is>
          <t>Decision is on hold until the formal estimate is signed and the line of credit terms come back. No commitment over $500 without sign off.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Porter</dc:creator>
  <dcterms:created xmlns:dcterms="http://purl.org/dc/terms/" xmlns:xsi="http://www.w3.org/2001/XMLSchema-instance" xsi:type="dcterms:W3CDTF">2026-11-06T14:00:00Z</dcterms:created>
  <dcterms:modified xmlns:dcterms="http://purl.org/dc/terms/" xmlns:xsi="http://www.w3.org/2001/XMLSchema-instance" xsi:type="dcterms:W3CDTF">2026-06-29T07:14:42Z</dcterms:modified>
  <cp:lastModifiedBy>David Porter</cp:lastModifiedBy>
</cp:coreProperties>
</file>