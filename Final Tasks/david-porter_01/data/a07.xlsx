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</cols>
  <sheetData>
    <row r="1">
      <c r="A1" s="1" t="inlineStr">
        <is>
          <t>Porter's Bakehouse</t>
        </is>
      </c>
    </row>
    <row r="2">
      <c r="A2" s="2" t="inlineStr">
        <is>
          <t>Profit and Loss, Month of October 2026</t>
        </is>
      </c>
    </row>
    <row r="3">
      <c r="A3" t="inlineStr">
        <is>
          <t>Prepared November 1, 2026. EIN 05-3398721</t>
        </is>
      </c>
    </row>
    <row r="5">
      <c r="A5" s="3" t="inlineStr">
        <is>
          <t>Revenue</t>
        </is>
      </c>
      <c r="B5" s="3" t="inlineStr">
        <is>
          <t>Amount</t>
        </is>
      </c>
      <c r="C5" s="3" t="inlineStr">
        <is>
          <t>Note</t>
        </is>
      </c>
    </row>
    <row r="6">
      <c r="A6" t="inlineStr">
        <is>
          <t>Counter and retail sales</t>
        </is>
      </c>
      <c r="B6" s="4" t="n">
        <v>26500</v>
      </c>
      <c r="C6" t="inlineStr"/>
    </row>
    <row r="7">
      <c r="A7" t="inlineStr">
        <is>
          <t>Custom and wedding cakes</t>
        </is>
      </c>
      <c r="B7" s="4" t="n">
        <v>9300</v>
      </c>
      <c r="C7" t="inlineStr">
        <is>
          <t>5 cakes plus custom orders</t>
        </is>
      </c>
    </row>
    <row r="8">
      <c r="A8" t="inlineStr">
        <is>
          <t>Wholesale accounts</t>
        </is>
      </c>
      <c r="B8" s="4" t="n">
        <v>6200</v>
      </c>
      <c r="C8" t="inlineStr">
        <is>
          <t>7 standing accounts</t>
        </is>
      </c>
    </row>
    <row r="9">
      <c r="A9" t="inlineStr">
        <is>
          <t>Online orders</t>
        </is>
      </c>
      <c r="B9" s="4" t="n">
        <v>800</v>
      </c>
      <c r="C9" t="inlineStr">
        <is>
          <t>cookie boxes and shipping</t>
        </is>
      </c>
    </row>
    <row r="10">
      <c r="A10" s="2" t="inlineStr">
        <is>
          <t>Total revenue</t>
        </is>
      </c>
      <c r="B10" s="5">
        <f>SUM(B6:B9)</f>
        <v/>
      </c>
    </row>
    <row r="12">
      <c r="A12" s="3" t="inlineStr">
        <is>
          <t>Cost of goods sold</t>
        </is>
      </c>
      <c r="B12" s="3" t="inlineStr">
        <is>
          <t>Amount</t>
        </is>
      </c>
      <c r="C12" s="3" t="inlineStr">
        <is>
          <t>Note</t>
        </is>
      </c>
    </row>
    <row r="13">
      <c r="A13" t="inlineStr">
        <is>
          <t>Food cost (ingredients)</t>
        </is>
      </c>
      <c r="B13" s="4" t="n">
        <v>13270</v>
      </c>
      <c r="C13" t="inlineStr">
        <is>
          <t>31.0% of revenue, target 28%</t>
        </is>
      </c>
    </row>
    <row r="14">
      <c r="A14" s="2" t="inlineStr">
        <is>
          <t>Gross profit</t>
        </is>
      </c>
      <c r="B14" s="5">
        <f>B10-B13</f>
        <v/>
      </c>
    </row>
    <row r="16">
      <c r="A16" s="3" t="inlineStr">
        <is>
          <t>Operating expenses</t>
        </is>
      </c>
      <c r="B16" s="3" t="inlineStr">
        <is>
          <t>Amount</t>
        </is>
      </c>
      <c r="C16" s="3" t="inlineStr">
        <is>
          <t>Note</t>
        </is>
      </c>
    </row>
    <row r="17">
      <c r="A17" t="inlineStr">
        <is>
          <t>Staff wages</t>
        </is>
      </c>
      <c r="B17" s="4" t="n">
        <v>11400</v>
      </c>
      <c r="C17" t="inlineStr">
        <is>
          <t>8 staff, blended</t>
        </is>
      </c>
    </row>
    <row r="18">
      <c r="A18" t="inlineStr">
        <is>
          <t>Owner compensation</t>
        </is>
      </c>
      <c r="B18" s="4" t="n">
        <v>6500</v>
      </c>
      <c r="C18" t="inlineStr">
        <is>
          <t>modest draw</t>
        </is>
      </c>
    </row>
    <row r="19">
      <c r="A19" t="inlineStr">
        <is>
          <t>Rent</t>
        </is>
      </c>
      <c r="B19" s="4" t="n">
        <v>3600</v>
      </c>
      <c r="C19" t="inlineStr">
        <is>
          <t>Atwells Avenue</t>
        </is>
      </c>
    </row>
    <row r="20">
      <c r="A20" t="inlineStr">
        <is>
          <t>Utilities</t>
        </is>
      </c>
      <c r="B20" s="4" t="n">
        <v>980</v>
      </c>
      <c r="C20" t="inlineStr">
        <is>
          <t>gas, electric, water</t>
        </is>
      </c>
    </row>
    <row r="21">
      <c r="A21" t="inlineStr">
        <is>
          <t>Insurance</t>
        </is>
      </c>
      <c r="B21" s="4" t="n">
        <v>520</v>
      </c>
      <c r="C21" t="inlineStr">
        <is>
          <t>business owner policy</t>
        </is>
      </c>
    </row>
    <row r="22">
      <c r="A22" t="inlineStr">
        <is>
          <t>Loan payment</t>
        </is>
      </c>
      <c r="B22" s="4" t="n">
        <v>680</v>
      </c>
      <c r="C22" t="inlineStr">
        <is>
          <t>equipment loan</t>
        </is>
      </c>
    </row>
    <row r="23">
      <c r="A23" t="inlineStr">
        <is>
          <t>Packaging and supplies</t>
        </is>
      </c>
      <c r="B23" s="4" t="n">
        <v>560</v>
      </c>
      <c r="C23" t="inlineStr"/>
    </row>
    <row r="24">
      <c r="A24" t="inlineStr">
        <is>
          <t>Marketing and software</t>
        </is>
      </c>
      <c r="B24" s="4" t="n">
        <v>420</v>
      </c>
      <c r="C24" t="inlineStr"/>
    </row>
    <row r="25">
      <c r="A25" t="inlineStr">
        <is>
          <t>Repairs and maintenance</t>
        </is>
      </c>
      <c r="B25" s="4" t="n">
        <v>310</v>
      </c>
      <c r="C25" t="inlineStr">
        <is>
          <t>deck oven thermocouple</t>
        </is>
      </c>
    </row>
    <row r="26">
      <c r="A26" t="inlineStr">
        <is>
          <t>Admin and misc</t>
        </is>
      </c>
      <c r="B26" s="4" t="n">
        <v>260</v>
      </c>
      <c r="C26" t="inlineStr"/>
    </row>
    <row r="27">
      <c r="A27" s="2" t="inlineStr">
        <is>
          <t>Total operating expenses</t>
        </is>
      </c>
      <c r="B27" s="5">
        <f>SUM(B17:B26)</f>
        <v/>
      </c>
    </row>
    <row r="29">
      <c r="A29" s="2" t="inlineStr">
        <is>
          <t>Net operating income</t>
        </is>
      </c>
      <c r="B29" s="5">
        <f>B14-B27</f>
        <v/>
      </c>
    </row>
    <row r="31">
      <c r="A31" s="2" t="inlineStr">
        <is>
          <t>Notes</t>
        </is>
      </c>
    </row>
    <row r="32">
      <c r="A32" t="inlineStr">
        <is>
          <t>Revenue is up about 12 percent year over year. Food cost is running 3 points over target on the flour step up.</t>
        </is>
      </c>
    </row>
    <row r="33">
      <c r="A33" t="inlineStr">
        <is>
          <t>Wholesale pricing has not yet been adjusted for the flour increase. Review with the December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David Porter</dc:creator>
  <dcterms:created xmlns:dcterms="http://purl.org/dc/terms/" xmlns:xsi="http://www.w3.org/2001/XMLSchema-instance" xsi:type="dcterms:W3CDTF">2026-11-01T09:00:00Z</dcterms:created>
  <dcterms:modified xmlns:dcterms="http://purl.org/dc/terms/" xmlns:xsi="http://www.w3.org/2001/XMLSchema-instance" xsi:type="dcterms:W3CDTF">2026-11-01T09:00:00Z</dcterms:modified>
  <cp:lastModifiedBy>David Porter</cp:lastModifiedBy>
</cp:coreProperties>
</file>