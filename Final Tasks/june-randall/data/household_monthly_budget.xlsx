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48" customWidth="1" min="1" max="1"/>
    <col width="15" customWidth="1" min="2" max="2"/>
  </cols>
  <sheetData>
    <row r="1">
      <c r="A1" s="1" t="inlineStr">
        <is>
          <t>Randall Household Budget, Monthly, as of October 2026</t>
        </is>
      </c>
    </row>
    <row r="2"/>
    <row r="3">
      <c r="A3" s="2" t="inlineStr">
        <is>
          <t>Income</t>
        </is>
      </c>
      <c r="B3" s="2" t="inlineStr">
        <is>
          <t>Monthly</t>
        </is>
      </c>
    </row>
    <row r="4">
      <c r="A4" t="inlineStr">
        <is>
          <t>June take-home (Community Care)</t>
        </is>
      </c>
      <c r="B4" t="n">
        <v>6200</v>
      </c>
    </row>
    <row r="5">
      <c r="A5" t="inlineStr">
        <is>
          <t>Samuel take-home (Crestfield)</t>
        </is>
      </c>
      <c r="B5" t="n">
        <v>5500</v>
      </c>
    </row>
    <row r="6">
      <c r="A6" t="inlineStr">
        <is>
          <t>Total take-home</t>
        </is>
      </c>
      <c r="B6">
        <f>SUM(B4:B5)</f>
        <v/>
      </c>
    </row>
    <row r="7"/>
    <row r="8">
      <c r="A8" s="2" t="inlineStr">
        <is>
          <t>Fixed Expenses</t>
        </is>
      </c>
      <c r="B8" s="2" t="inlineStr">
        <is>
          <t>Monthly</t>
        </is>
      </c>
    </row>
    <row r="9">
      <c r="A9" t="inlineStr">
        <is>
          <t>Mortgage and escrow (Pinnacle Home Lending 8840023117)</t>
        </is>
      </c>
      <c r="B9" t="n">
        <v>1800</v>
      </c>
    </row>
    <row r="10">
      <c r="A10" t="inlineStr">
        <is>
          <t>Property tax escrow</t>
        </is>
      </c>
      <c r="B10" t="n">
        <v>380</v>
      </c>
    </row>
    <row r="11">
      <c r="A11" t="inlineStr">
        <is>
          <t>Homeowner's insurance</t>
        </is>
      </c>
      <c r="B11" t="n">
        <v>150</v>
      </c>
    </row>
    <row r="12">
      <c r="A12" t="inlineStr">
        <is>
          <t>Utilities (Regional Energy)</t>
        </is>
      </c>
      <c r="B12" t="n">
        <v>320</v>
      </c>
    </row>
    <row r="13">
      <c r="A13" t="inlineStr">
        <is>
          <t>Groceries</t>
        </is>
      </c>
      <c r="B13" t="n">
        <v>900</v>
      </c>
    </row>
    <row r="14">
      <c r="A14" t="inlineStr">
        <is>
          <t>Auto insurance two vehicles</t>
        </is>
      </c>
      <c r="B14" t="n">
        <v>240</v>
      </c>
    </row>
    <row r="15">
      <c r="A15" t="inlineStr">
        <is>
          <t>Gas</t>
        </is>
      </c>
      <c r="B15" t="n">
        <v>180</v>
      </c>
    </row>
    <row r="16">
      <c r="A16" t="inlineStr">
        <is>
          <t>Samuel car payment (2023 sedan)</t>
        </is>
      </c>
      <c r="B16" t="n">
        <v>350</v>
      </c>
    </row>
    <row r="17">
      <c r="A17" t="inlineStr">
        <is>
          <t>Church tithe</t>
        </is>
      </c>
      <c r="B17" t="n">
        <v>975</v>
      </c>
    </row>
    <row r="18">
      <c r="A18" t="inlineStr">
        <is>
          <t>Support to Dorothy</t>
        </is>
      </c>
      <c r="B18" t="n">
        <v>300</v>
      </c>
    </row>
    <row r="19">
      <c r="A19" t="inlineStr">
        <is>
          <t>Brianna Westbrook tuition</t>
        </is>
      </c>
      <c r="B19" t="n">
        <v>800</v>
      </c>
    </row>
    <row r="20">
      <c r="A20" t="inlineStr">
        <is>
          <t>Marcus college contribution</t>
        </is>
      </c>
      <c r="B20" t="n">
        <v>500</v>
      </c>
    </row>
    <row r="21">
      <c r="A21" t="inlineStr">
        <is>
          <t>Streaming services</t>
        </is>
      </c>
      <c r="B21" t="n">
        <v>30</v>
      </c>
    </row>
    <row r="22">
      <c r="A22" t="inlineStr">
        <is>
          <t>Dining out</t>
        </is>
      </c>
      <c r="B22" t="n">
        <v>200</v>
      </c>
    </row>
    <row r="23">
      <c r="A23" t="inlineStr">
        <is>
          <t>Clothing and personal</t>
        </is>
      </c>
      <c r="B23" t="n">
        <v>150</v>
      </c>
    </row>
    <row r="24">
      <c r="A24" t="inlineStr">
        <is>
          <t>Miscellaneous</t>
        </is>
      </c>
      <c r="B24" t="n">
        <v>250</v>
      </c>
    </row>
    <row r="25">
      <c r="A25" t="inlineStr">
        <is>
          <t>Total fixed expenses</t>
        </is>
      </c>
      <c r="B25">
        <f>SUM(B9:B24)</f>
        <v/>
      </c>
    </row>
    <row r="26"/>
    <row r="27">
      <c r="A27" s="2" t="inlineStr">
        <is>
          <t>Savings and Investing</t>
        </is>
      </c>
      <c r="B27" s="2" t="inlineStr">
        <is>
          <t>Monthly</t>
        </is>
      </c>
    </row>
    <row r="28">
      <c r="A28" t="inlineStr">
        <is>
          <t>Emergency fund (Meridian HYSA)</t>
        </is>
      </c>
      <c r="B28" t="n">
        <v>800</v>
      </c>
    </row>
    <row r="29">
      <c r="A29" t="inlineStr">
        <is>
          <t>June 403(b) at 6 percent</t>
        </is>
      </c>
      <c r="B29" t="n">
        <v>525</v>
      </c>
    </row>
    <row r="30">
      <c r="A30" t="inlineStr">
        <is>
          <t>Samuel 401(k)</t>
        </is>
      </c>
      <c r="B30" t="n">
        <v>750</v>
      </c>
    </row>
    <row r="31">
      <c r="A31" t="inlineStr">
        <is>
          <t>Lauren support fund</t>
        </is>
      </c>
      <c r="B31" t="n">
        <v>300</v>
      </c>
    </row>
    <row r="32">
      <c r="A32" t="inlineStr">
        <is>
          <t>Brianna 529 plan</t>
        </is>
      </c>
      <c r="B32" t="n">
        <v>400</v>
      </c>
    </row>
    <row r="33">
      <c r="A33" t="inlineStr">
        <is>
          <t>Vacation fund</t>
        </is>
      </c>
      <c r="B33" t="n">
        <v>200</v>
      </c>
    </row>
    <row r="34">
      <c r="A34" t="inlineStr">
        <is>
          <t>Home maintenance fund</t>
        </is>
      </c>
      <c r="B34" t="n">
        <v>300</v>
      </c>
    </row>
    <row r="35">
      <c r="A35" t="inlineStr">
        <is>
          <t>Life and disability insurance</t>
        </is>
      </c>
      <c r="B35" t="n">
        <v>300</v>
      </c>
    </row>
    <row r="36">
      <c r="A36" t="inlineStr">
        <is>
          <t>Joint taxable investment</t>
        </is>
      </c>
      <c r="B36" t="n">
        <v>600</v>
      </c>
    </row>
    <row r="37">
      <c r="A37" t="inlineStr">
        <is>
          <t>Total savings and investing</t>
        </is>
      </c>
      <c r="B37">
        <f>SUM(B28:B36)</f>
        <v/>
      </c>
    </row>
    <row r="38"/>
    <row r="39">
      <c r="A39" s="3" t="inlineStr">
        <is>
          <t>Net (income minus fixed minus savings)</t>
        </is>
      </c>
      <c r="B39" s="3">
        <f>B6-B25-B37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June Randall</dc:creator>
  <dcterms:created xmlns:dcterms="http://purl.org/dc/terms/" xmlns:xsi="http://www.w3.org/2001/XMLSchema-instance" xsi:type="dcterms:W3CDTF">2026-01-16T08:21:00Z</dcterms:created>
  <dcterms:modified xmlns:dcterms="http://purl.org/dc/terms/" xmlns:xsi="http://www.w3.org/2001/XMLSchema-instance" xsi:type="dcterms:W3CDTF">2026-06-30T12:00:05Z</dcterms:modified>
  <cp:lastModifiedBy>June Randall</cp:lastModifiedBy>
  <cp:revision>2</cp:revision>
</cp:coreProperties>
</file>