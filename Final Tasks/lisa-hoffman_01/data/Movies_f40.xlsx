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Fair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Hoffman Quilting, Craft Fair Expense Tracker 2025</t>
        </is>
      </c>
    </row>
    <row r="2">
      <c r="A2" s="2" t="inlineStr">
        <is>
          <t>Tracks vendor fees, travel, and supplies by event. Compare against the 2025 Sales Ledger.</t>
        </is>
      </c>
    </row>
    <row r="3"/>
    <row r="4">
      <c r="A4" s="3" t="inlineStr">
        <is>
          <t>Event</t>
        </is>
      </c>
      <c r="B4" s="3" t="inlineStr">
        <is>
          <t>Date</t>
        </is>
      </c>
      <c r="C4" s="3" t="inlineStr">
        <is>
          <t>Location</t>
        </is>
      </c>
      <c r="D4" s="3" t="inlineStr">
        <is>
          <t>Vendor Fee</t>
        </is>
      </c>
      <c r="E4" s="3" t="inlineStr">
        <is>
          <t>Fuel</t>
        </is>
      </c>
      <c r="F4" s="3" t="inlineStr">
        <is>
          <t>Lodging</t>
        </is>
      </c>
      <c r="G4" s="3" t="inlineStr">
        <is>
          <t>Food/Other</t>
        </is>
      </c>
      <c r="H4" s="3" t="inlineStr">
        <is>
          <t>Total Cost</t>
        </is>
      </c>
      <c r="I4" s="3" t="inlineStr">
        <is>
          <t>Sales</t>
        </is>
      </c>
      <c r="J4" s="3" t="inlineStr">
        <is>
          <t>Net</t>
        </is>
      </c>
    </row>
    <row r="5">
      <c r="A5" t="inlineStr">
        <is>
          <t>Pierre Spring Market</t>
        </is>
      </c>
      <c r="B5" t="inlineStr">
        <is>
          <t>05/10/2025</t>
        </is>
      </c>
      <c r="C5" t="inlineStr">
        <is>
          <t>Pierre, SD</t>
        </is>
      </c>
      <c r="D5" t="n">
        <v>85</v>
      </c>
      <c r="E5" t="n">
        <v>44</v>
      </c>
      <c r="F5" t="n">
        <v>0</v>
      </c>
      <c r="G5" t="n">
        <v>12</v>
      </c>
      <c r="H5">
        <f>D5+E5+F5+G5</f>
        <v/>
      </c>
      <c r="I5" t="n">
        <v>255</v>
      </c>
      <c r="J5">
        <f>I5-H5</f>
        <v/>
      </c>
    </row>
    <row r="6">
      <c r="A6" t="inlineStr">
        <is>
          <t>Black Hills Fair</t>
        </is>
      </c>
      <c r="B6" t="inlineStr">
        <is>
          <t>07/19/2025</t>
        </is>
      </c>
      <c r="C6" t="inlineStr">
        <is>
          <t>Rapid City, SD</t>
        </is>
      </c>
      <c r="D6" t="n">
        <v>95</v>
      </c>
      <c r="E6" t="n">
        <v>48</v>
      </c>
      <c r="F6" t="n">
        <v>98</v>
      </c>
      <c r="G6" t="n">
        <v>22</v>
      </c>
      <c r="H6">
        <f>D6+E6+F6+G6</f>
        <v/>
      </c>
      <c r="I6" t="n">
        <v>405</v>
      </c>
      <c r="J6">
        <f>I6-H6</f>
        <v/>
      </c>
    </row>
    <row r="7">
      <c r="A7" t="inlineStr">
        <is>
          <t>Sturgis Makers Market</t>
        </is>
      </c>
      <c r="B7" t="inlineStr">
        <is>
          <t>08/30/2025</t>
        </is>
      </c>
      <c r="C7" t="inlineStr">
        <is>
          <t>Sturgis, SD</t>
        </is>
      </c>
      <c r="D7" t="n">
        <v>70</v>
      </c>
      <c r="E7" t="n">
        <v>36</v>
      </c>
      <c r="F7" t="n">
        <v>0</v>
      </c>
      <c r="G7" t="n">
        <v>15</v>
      </c>
      <c r="H7">
        <f>D7+E7+F7+G7</f>
        <v/>
      </c>
      <c r="I7" t="n">
        <v>120</v>
      </c>
      <c r="J7">
        <f>I7-H7</f>
        <v/>
      </c>
    </row>
    <row r="8">
      <c r="A8" t="inlineStr">
        <is>
          <t>Rosebud Regional Fair</t>
        </is>
      </c>
      <c r="B8" t="inlineStr">
        <is>
          <t>11/08/2025</t>
        </is>
      </c>
      <c r="C8" t="inlineStr">
        <is>
          <t>Rosebud, SD</t>
        </is>
      </c>
      <c r="D8" t="n">
        <v>90</v>
      </c>
      <c r="E8" t="n">
        <v>52</v>
      </c>
      <c r="F8" t="n">
        <v>0</v>
      </c>
      <c r="G8" t="n">
        <v>18</v>
      </c>
      <c r="H8">
        <f>D8+E8+F8+G8</f>
        <v/>
      </c>
      <c r="I8" t="n">
        <v>425</v>
      </c>
      <c r="J8">
        <f>I8-H8</f>
        <v/>
      </c>
    </row>
    <row r="9">
      <c r="A9" s="4" t="inlineStr">
        <is>
          <t>TOTALS</t>
        </is>
      </c>
      <c r="D9" s="4">
        <f>SUM(D5:D8)</f>
        <v/>
      </c>
      <c r="E9" s="4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  <c r="J9" s="4">
        <f>SUM(J5:J8)</f>
        <v/>
      </c>
    </row>
    <row r="10"/>
    <row r="11">
      <c r="A11" s="4" t="inlineStr">
        <is>
          <t>Notes:</t>
        </is>
      </c>
    </row>
    <row r="12">
      <c r="A12" t="inlineStr">
        <is>
          <t>Black Hills Fair: lodging shared with Wilma Spencer. Split cost 50/50. Listed here is Lisa share only.</t>
        </is>
      </c>
    </row>
    <row r="13">
      <c r="A13" t="inlineStr">
        <is>
          <t>Fuel: round-trip mileage estimated at current gas prices. Pierre 88 miles, Rapid City 96 miles, Sturgis 72 miles, Rosebud 104 miles.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2026-06-09T07:10:16Z</dcterms:created>
  <dcterms:modified xmlns:dcterms="http://purl.org/dc/terms/" xmlns:xsi="http://www.w3.org/2001/XMLSchema-instance" xsi:type="dcterms:W3CDTF">2026-06-09T11:41:55Z</dcterms:modified>
</cp:coreProperties>
</file>