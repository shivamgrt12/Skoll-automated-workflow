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venue_by_month" sheetId="1" state="visible" r:id="rId1"/>
    <sheet xmlns:r="http://schemas.openxmlformats.org/officeDocument/2006/relationships" name="2_Materials_reconciliation" sheetId="2" state="visible" r:id="rId2"/>
    <sheet xmlns:r="http://schemas.openxmlformats.org/officeDocument/2006/relationships" name="3_Schedule_C_shape" sheetId="3" state="visible" r:id="rId3"/>
    <sheet xmlns:r="http://schemas.openxmlformats.org/officeDocument/2006/relationships" name="4_Per_piece_margin" sheetId="4" state="visible" r:id="rId4"/>
    <sheet xmlns:r="http://schemas.openxmlformats.org/officeDocument/2006/relationships" name="5_Quarterly_cash_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Direct commissions (Stripe)</t>
        </is>
      </c>
      <c r="C1" s="1" t="inlineStr">
        <is>
          <t>Instagram out-of-state (PayPal)</t>
        </is>
      </c>
      <c r="D1" s="1" t="inlineStr">
        <is>
          <t>Etsy proceeds</t>
        </is>
      </c>
      <c r="E1" s="1" t="inlineStr">
        <is>
          <t>Amazon Seller</t>
        </is>
      </c>
      <c r="F1" s="1" t="inlineStr">
        <is>
          <t>Gallup Fair (Square)</t>
        </is>
      </c>
      <c r="G1" s="1" t="inlineStr">
        <is>
          <t>Row total</t>
        </is>
      </c>
    </row>
    <row r="2">
      <c r="A2" t="inlineStr">
        <is>
          <t>January</t>
        </is>
      </c>
      <c r="B2" t="n">
        <v>420</v>
      </c>
      <c r="C2" t="n">
        <v>180</v>
      </c>
      <c r="D2" t="n">
        <v>445</v>
      </c>
      <c r="E2" t="n">
        <v>85</v>
      </c>
      <c r="F2" t="n">
        <v>0</v>
      </c>
      <c r="G2" t="n">
        <v>1130</v>
      </c>
    </row>
    <row r="3">
      <c r="A3" t="inlineStr">
        <is>
          <t>February</t>
        </is>
      </c>
      <c r="B3" t="n">
        <v>380</v>
      </c>
      <c r="C3" t="n">
        <v>210</v>
      </c>
      <c r="D3" t="n">
        <v>380</v>
      </c>
      <c r="E3" t="n">
        <v>90</v>
      </c>
      <c r="F3" t="n">
        <v>0</v>
      </c>
      <c r="G3" t="n">
        <v>1060</v>
      </c>
    </row>
    <row r="4">
      <c r="A4" t="inlineStr">
        <is>
          <t>March</t>
        </is>
      </c>
      <c r="B4" t="n">
        <v>650</v>
      </c>
      <c r="C4" t="n">
        <v>195</v>
      </c>
      <c r="D4" t="n">
        <v>512</v>
      </c>
      <c r="E4" t="n">
        <v>105</v>
      </c>
      <c r="F4" t="n">
        <v>0</v>
      </c>
      <c r="G4" t="n">
        <v>1462</v>
      </c>
    </row>
    <row r="5">
      <c r="A5" t="inlineStr">
        <is>
          <t>April</t>
        </is>
      </c>
      <c r="B5" t="n">
        <v>520</v>
      </c>
      <c r="C5" t="n">
        <v>160</v>
      </c>
      <c r="D5" t="n">
        <v>468</v>
      </c>
      <c r="E5" t="n">
        <v>92</v>
      </c>
      <c r="F5" t="n">
        <v>0</v>
      </c>
      <c r="G5" t="n">
        <v>1240</v>
      </c>
    </row>
    <row r="6">
      <c r="A6" t="inlineStr">
        <is>
          <t>May</t>
        </is>
      </c>
      <c r="B6" t="n">
        <v>710</v>
      </c>
      <c r="C6" t="n">
        <v>185</v>
      </c>
      <c r="D6" t="n">
        <v>520</v>
      </c>
      <c r="E6" t="n">
        <v>110</v>
      </c>
      <c r="F6" t="n">
        <v>0</v>
      </c>
      <c r="G6" t="n">
        <v>1525</v>
      </c>
    </row>
    <row r="7">
      <c r="A7" t="inlineStr">
        <is>
          <t>June</t>
        </is>
      </c>
      <c r="B7" t="n">
        <v>490</v>
      </c>
      <c r="C7" t="n">
        <v>205</v>
      </c>
      <c r="D7" t="n">
        <v>445</v>
      </c>
      <c r="E7" t="n">
        <v>98</v>
      </c>
      <c r="F7" t="n">
        <v>0</v>
      </c>
      <c r="G7" t="n">
        <v>1238</v>
      </c>
    </row>
    <row r="8">
      <c r="A8" t="inlineStr">
        <is>
          <t>July</t>
        </is>
      </c>
      <c r="B8" t="n">
        <v>580</v>
      </c>
      <c r="C8" t="n">
        <v>220</v>
      </c>
      <c r="D8" t="n">
        <v>495</v>
      </c>
      <c r="E8" t="n">
        <v>105</v>
      </c>
      <c r="F8" t="n">
        <v>2314</v>
      </c>
      <c r="G8" t="n">
        <v>3714</v>
      </c>
    </row>
    <row r="9">
      <c r="A9" t="inlineStr">
        <is>
          <t>August</t>
        </is>
      </c>
      <c r="B9" t="n">
        <v>635</v>
      </c>
      <c r="C9" t="n">
        <v>175</v>
      </c>
      <c r="D9" t="n">
        <v>510</v>
      </c>
      <c r="E9" t="n">
        <v>108</v>
      </c>
      <c r="F9" t="n">
        <v>0</v>
      </c>
      <c r="G9" t="n">
        <v>1428</v>
      </c>
    </row>
    <row r="10">
      <c r="A10" t="inlineStr">
        <is>
          <t>September</t>
        </is>
      </c>
      <c r="B10" t="n">
        <v>520</v>
      </c>
      <c r="C10" t="n">
        <v>190</v>
      </c>
      <c r="D10" t="n">
        <v>462</v>
      </c>
      <c r="E10" t="n">
        <v>95</v>
      </c>
      <c r="F10" t="n">
        <v>0</v>
      </c>
      <c r="G10" t="n">
        <v>1267</v>
      </c>
    </row>
    <row r="11">
      <c r="A11" t="inlineStr">
        <is>
          <t>October</t>
        </is>
      </c>
      <c r="B11" t="n">
        <v>680</v>
      </c>
      <c r="C11" t="n">
        <v>210</v>
      </c>
      <c r="D11" t="n">
        <v>545</v>
      </c>
      <c r="E11" t="n">
        <v>112</v>
      </c>
      <c r="F11" t="n">
        <v>0</v>
      </c>
      <c r="G11" t="n">
        <v>1547</v>
      </c>
    </row>
    <row r="12">
      <c r="A12" t="inlineStr">
        <is>
          <t>November</t>
        </is>
      </c>
      <c r="B12" t="n">
        <v>620</v>
      </c>
      <c r="C12" t="n">
        <v>205</v>
      </c>
      <c r="D12" t="n">
        <v>488</v>
      </c>
      <c r="E12" t="n">
        <v>95</v>
      </c>
      <c r="F12" t="n">
        <v>0</v>
      </c>
      <c r="G12" t="n">
        <v>1408</v>
      </c>
    </row>
    <row r="13">
      <c r="A13" t="inlineStr">
        <is>
          <t>December</t>
        </is>
      </c>
      <c r="B13" t="n">
        <v>280</v>
      </c>
      <c r="C13" t="n">
        <v>5.5</v>
      </c>
      <c r="D13" t="n">
        <v>150.5</v>
      </c>
      <c r="E13" t="n">
        <v>85</v>
      </c>
      <c r="F13" t="n">
        <v>0</v>
      </c>
      <c r="G13" t="n">
        <v>521</v>
      </c>
    </row>
    <row r="14">
      <c r="A14" s="2" t="inlineStr">
        <is>
          <t>YTD total</t>
        </is>
      </c>
      <c r="B14" s="2">
        <f>SUM(B2:B13)</f>
        <v/>
      </c>
      <c r="C14" s="2">
        <f>SUM(C2:C13)</f>
        <v/>
      </c>
      <c r="D14" s="2">
        <f>SUM(D2:D13)</f>
        <v/>
      </c>
      <c r="E14" s="2">
        <f>SUM(E2:E13)</f>
        <v/>
      </c>
      <c r="F14" s="2">
        <f>SUM(F2:F13)</f>
        <v/>
      </c>
      <c r="G14" s="2">
        <f>SUM(G2:G13)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6" customWidth="1" min="4" max="4"/>
    <col width="50" customWidth="1" min="5" max="5"/>
    <col width="55" customWidth="1" min="6" max="6"/>
  </cols>
  <sheetData>
    <row r="1">
      <c r="A1" s="1" t="inlineStr">
        <is>
          <t>Line item</t>
        </is>
      </c>
      <c r="B1" s="1" t="inlineStr">
        <is>
          <t>Primary book (QuickBooks)</t>
        </is>
      </c>
      <c r="C1" s="1" t="inlineStr">
        <is>
          <t>Mirror book (Xero)</t>
        </is>
      </c>
      <c r="D1" s="1" t="inlineStr">
        <is>
          <t>Winning value</t>
        </is>
      </c>
      <c r="E1" s="1" t="inlineStr">
        <is>
          <t>Source trusted</t>
        </is>
      </c>
      <c r="F1" s="1" t="inlineStr">
        <is>
          <t>Source set aside</t>
        </is>
      </c>
    </row>
    <row r="2">
      <c r="A2" t="inlineStr">
        <is>
          <t>Q1 materials (silver rod, stones, consumables)</t>
        </is>
      </c>
      <c r="B2" t="n">
        <v>3820.1</v>
      </c>
      <c r="C2" t="n">
        <v>3820.1</v>
      </c>
      <c r="D2" t="n">
        <v>3820.1</v>
      </c>
      <c r="E2" t="inlineStr">
        <is>
          <t>Books agree</t>
        </is>
      </c>
      <c r="F2" t="inlineStr">
        <is>
          <t>n/a</t>
        </is>
      </c>
    </row>
    <row r="3">
      <c r="A3" t="inlineStr">
        <is>
          <t>Q2 materials</t>
        </is>
      </c>
      <c r="B3" t="n">
        <v>4210.55</v>
      </c>
      <c r="C3" t="n">
        <v>4210.55</v>
      </c>
      <c r="D3" t="n">
        <v>4210.55</v>
      </c>
      <c r="E3" t="inlineStr">
        <is>
          <t>Books agree</t>
        </is>
      </c>
      <c r="F3" t="inlineStr">
        <is>
          <t>n/a</t>
        </is>
      </c>
    </row>
    <row r="4">
      <c r="A4" s="3" t="inlineStr">
        <is>
          <t>Q3 materials</t>
        </is>
      </c>
      <c r="B4" s="3" t="n">
        <v>4318.9</v>
      </c>
      <c r="C4" s="3" t="n">
        <v>4847.22</v>
      </c>
      <c r="D4" s="3" t="n">
        <v>4847.22</v>
      </c>
      <c r="E4" s="3" t="inlineStr">
        <is>
          <t>Xero, newer authoritative view with corrected Rio Grande Jewelry Supply invoice</t>
        </is>
      </c>
      <c r="F4" s="3" t="inlineStr">
        <is>
          <t>QuickBooks, entered from original invoice before the corrected replacement was issued</t>
        </is>
      </c>
    </row>
    <row r="5">
      <c r="A5" t="inlineStr">
        <is>
          <t>Q4 materials (through December 1)</t>
        </is>
      </c>
      <c r="B5" t="n">
        <v>3105.8</v>
      </c>
      <c r="C5" t="n">
        <v>3105.8</v>
      </c>
      <c r="D5" t="n">
        <v>3105.8</v>
      </c>
      <c r="E5" t="inlineStr">
        <is>
          <t>Books agree</t>
        </is>
      </c>
      <c r="F5" t="inlineStr">
        <is>
          <t>n/a</t>
        </is>
      </c>
    </row>
    <row r="6">
      <c r="A6" s="4" t="inlineStr">
        <is>
          <t>YTD materials cost</t>
        </is>
      </c>
      <c r="B6" s="4" t="n">
        <v>15455.35</v>
      </c>
      <c r="C6" s="4" t="n">
        <v>15983.67</v>
      </c>
      <c r="D6" s="4" t="n">
        <v>15983.67</v>
      </c>
      <c r="E6" s="4" t="inlineStr">
        <is>
          <t>Xero on Q3 line, both books agree elsewhere</t>
        </is>
      </c>
      <c r="F6" s="4" t="inlineStr">
        <is>
          <t>QuickBooks Q3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72" customWidth="1" min="1" max="1"/>
    <col width="18" customWidth="1" min="2" max="2"/>
  </cols>
  <sheetData>
    <row r="1">
      <c r="A1" s="1" t="inlineStr">
        <is>
          <t>Schedule C line</t>
        </is>
      </c>
      <c r="B1" s="1" t="inlineStr">
        <is>
          <t>Value</t>
        </is>
      </c>
    </row>
    <row r="2">
      <c r="A2" t="inlineStr">
        <is>
          <t>Line 1 - Gross receipts by channel</t>
        </is>
      </c>
    </row>
    <row r="3">
      <c r="A3" t="inlineStr">
        <is>
          <t xml:space="preserve">  Direct commissions (Stripe)</t>
        </is>
      </c>
      <c r="B3" t="n">
        <v>6485</v>
      </c>
    </row>
    <row r="4">
      <c r="A4" t="inlineStr">
        <is>
          <t xml:space="preserve">  Instagram out-of-state (PayPal)</t>
        </is>
      </c>
      <c r="B4" t="n">
        <v>2140</v>
      </c>
    </row>
    <row r="5">
      <c r="A5" t="inlineStr">
        <is>
          <t xml:space="preserve">  Etsy proceeds</t>
        </is>
      </c>
      <c r="B5" t="n">
        <v>5920.5</v>
      </c>
    </row>
    <row r="6">
      <c r="A6" t="inlineStr">
        <is>
          <t xml:space="preserve">  Amazon Seller</t>
        </is>
      </c>
      <c r="B6" t="n">
        <v>1180</v>
      </c>
    </row>
    <row r="7">
      <c r="A7" t="inlineStr">
        <is>
          <t xml:space="preserve">  Gallup Arts and Crafts Fair (Square)</t>
        </is>
      </c>
      <c r="B7" t="n">
        <v>2314</v>
      </c>
    </row>
    <row r="8">
      <c r="A8" t="inlineStr">
        <is>
          <t>Line 1 total gross receipts</t>
        </is>
      </c>
      <c r="B8" t="n">
        <v>18039.5</v>
      </c>
    </row>
    <row r="9">
      <c r="A9" s="4" t="inlineStr">
        <is>
          <t>Line 2 - Returns and allowances</t>
        </is>
      </c>
      <c r="B9" s="4" t="n">
        <v>0</v>
      </c>
    </row>
    <row r="10">
      <c r="A10" s="4" t="inlineStr">
        <is>
          <t>Line 3 - Net gross receipts</t>
        </is>
      </c>
      <c r="B10" s="4" t="n">
        <v>18039.5</v>
      </c>
    </row>
    <row r="11">
      <c r="A11" t="inlineStr">
        <is>
          <t>Line 4 - Cost of goods sold</t>
        </is>
      </c>
    </row>
    <row r="12">
      <c r="A12" t="inlineStr">
        <is>
          <t xml:space="preserve">  Beginning inventory (Jan 1)</t>
        </is>
      </c>
      <c r="B12" t="n">
        <v>2140</v>
      </c>
    </row>
    <row r="13">
      <c r="A13" t="inlineStr">
        <is>
          <t xml:space="preserve">  Purchases of materials YTD (reconciled)</t>
        </is>
      </c>
      <c r="B13" t="n">
        <v>15983.67</v>
      </c>
    </row>
    <row r="14">
      <c r="A14" t="inlineStr">
        <is>
          <t xml:space="preserve">  Ending inventory (Dec 1)</t>
        </is>
      </c>
      <c r="B14" t="n">
        <v>1820</v>
      </c>
    </row>
    <row r="15">
      <c r="A15" t="inlineStr">
        <is>
          <t xml:space="preserve">  Line 4 total COGS</t>
        </is>
      </c>
      <c r="B15" t="n">
        <v>16303.67</v>
      </c>
    </row>
    <row r="16">
      <c r="A16" s="4" t="inlineStr">
        <is>
          <t>Line 7 - Gross profit</t>
        </is>
      </c>
      <c r="B16" s="4" t="n">
        <v>1735.83</v>
      </c>
    </row>
    <row r="17">
      <c r="A17" s="4" t="inlineStr">
        <is>
          <t>Line 8 - Advertising (Mailchimp, Klaviyo, ActiveCampaign subscriptions)</t>
        </is>
      </c>
      <c r="B17" s="4" t="n">
        <v>384</v>
      </c>
    </row>
    <row r="18">
      <c r="A18" s="4" t="inlineStr">
        <is>
          <t>Line 11 - Contract labor (Rafael Chavez, fall rush)</t>
        </is>
      </c>
      <c r="B18" s="4" t="n">
        <v>3120</v>
      </c>
    </row>
    <row r="19">
      <c r="A19" s="4" t="inlineStr">
        <is>
          <t>Line 20 - Rent (studio share of home)</t>
        </is>
      </c>
      <c r="B19" s="4" t="n">
        <v>1800</v>
      </c>
    </row>
    <row r="20">
      <c r="A20" s="4" t="inlineStr">
        <is>
          <t>Line 22 - Supplies (tumbler consumables, files, torch tips)</t>
        </is>
      </c>
      <c r="B20" s="4" t="n">
        <v>425.6</v>
      </c>
    </row>
    <row r="21">
      <c r="A21" s="4" t="inlineStr">
        <is>
          <t>Line 24a - Travel (Sedona window drop-off runs)</t>
        </is>
      </c>
      <c r="B21" s="4" t="n">
        <v>640</v>
      </c>
    </row>
    <row r="22">
      <c r="A22" s="4" t="inlineStr">
        <is>
          <t>Line 25 - Utilities (workshop share)</t>
        </is>
      </c>
      <c r="B22" s="4" t="n">
        <v>480</v>
      </c>
    </row>
    <row r="23">
      <c r="A23" s="4" t="inlineStr">
        <is>
          <t>Line 27a - Other, gallery commission expense</t>
        </is>
      </c>
      <c r="B23" s="4" t="n">
        <v>3216</v>
      </c>
    </row>
    <row r="24">
      <c r="A24" s="4" t="inlineStr">
        <is>
          <t>Line 27a - Other, shipping</t>
        </is>
      </c>
      <c r="B24" s="4" t="n">
        <v>987.5</v>
      </c>
    </row>
    <row r="25">
      <c r="A25" t="inlineStr">
        <is>
          <t>Line 28 - Total expenses</t>
        </is>
      </c>
      <c r="B25" t="n">
        <v>11053.1</v>
      </c>
    </row>
    <row r="26">
      <c r="A26" s="4" t="inlineStr">
        <is>
          <t>Line 31 - Net studio profit</t>
        </is>
      </c>
      <c r="B26" s="4" t="n">
        <v>-9317.27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12" customWidth="1" min="4" max="4"/>
    <col width="14" customWidth="1" min="5" max="5"/>
    <col width="12" customWidth="1" min="6" max="6"/>
    <col width="12" customWidth="1" min="7" max="7"/>
    <col width="20" customWidth="1" min="8" max="8"/>
    <col width="22" customWidth="1" min="9" max="9"/>
  </cols>
  <sheetData>
    <row r="1">
      <c r="A1" s="1" t="inlineStr">
        <is>
          <t>SKU</t>
        </is>
      </c>
      <c r="B1" s="1" t="inlineStr">
        <is>
          <t>Piece</t>
        </is>
      </c>
      <c r="C1" s="1" t="inlineStr">
        <is>
          <t>Gallery</t>
        </is>
      </c>
      <c r="D1" s="1" t="inlineStr">
        <is>
          <t>Sale price</t>
        </is>
      </c>
      <c r="E1" s="1" t="inlineStr">
        <is>
          <t>Gallery split</t>
        </is>
      </c>
      <c r="F1" s="1" t="inlineStr">
        <is>
          <t>Materials</t>
        </is>
      </c>
      <c r="G1" s="1" t="inlineStr">
        <is>
          <t>Shipping</t>
        </is>
      </c>
      <c r="H1" s="1" t="inlineStr">
        <is>
          <t>Processor fee (2.9%)</t>
        </is>
      </c>
      <c r="I1" s="1" t="inlineStr">
        <is>
          <t>Contribution margin</t>
        </is>
      </c>
    </row>
    <row r="2">
      <c r="A2" t="inlineStr">
        <is>
          <t>OMW-C-041</t>
        </is>
      </c>
      <c r="B2" t="inlineStr">
        <is>
          <t>Zuni Sunset heavy cuff</t>
        </is>
      </c>
      <c r="C2" t="inlineStr">
        <is>
          <t>Turquoise Trail Santa Fe</t>
        </is>
      </c>
      <c r="D2" t="n">
        <v>650</v>
      </c>
      <c r="E2" t="inlineStr">
        <is>
          <t>40%</t>
        </is>
      </c>
      <c r="F2" t="n">
        <v>148</v>
      </c>
      <c r="G2" t="n">
        <v>24.5</v>
      </c>
      <c r="H2" t="n">
        <v>18.85</v>
      </c>
      <c r="I2" t="n">
        <v>198.65</v>
      </c>
    </row>
    <row r="3">
      <c r="A3" t="inlineStr">
        <is>
          <t>OMW-C-044</t>
        </is>
      </c>
      <c r="B3" t="inlineStr">
        <is>
          <t>Kingman ridgeline cuff</t>
        </is>
      </c>
      <c r="C3" t="inlineStr">
        <is>
          <t>Turquoise Trail Santa Fe</t>
        </is>
      </c>
      <c r="D3" t="n">
        <v>625</v>
      </c>
      <c r="E3" t="inlineStr">
        <is>
          <t>40%</t>
        </is>
      </c>
      <c r="F3" t="n">
        <v>138</v>
      </c>
      <c r="G3" t="n">
        <v>24.5</v>
      </c>
      <c r="H3" t="n">
        <v>18.12</v>
      </c>
      <c r="I3" t="n">
        <v>194.38</v>
      </c>
    </row>
    <row r="4">
      <c r="A4" t="inlineStr">
        <is>
          <t>OMW-C-046</t>
        </is>
      </c>
      <c r="B4" t="inlineStr">
        <is>
          <t>Royston twin-stone cuff</t>
        </is>
      </c>
      <c r="C4" t="inlineStr">
        <is>
          <t>Turquoise Trail Santa Fe</t>
        </is>
      </c>
      <c r="D4" t="n">
        <v>580</v>
      </c>
      <c r="E4" t="inlineStr">
        <is>
          <t>40%</t>
        </is>
      </c>
      <c r="F4" t="n">
        <v>131</v>
      </c>
      <c r="G4" t="n">
        <v>24.5</v>
      </c>
      <c r="H4" t="n">
        <v>16.82</v>
      </c>
      <c r="I4" t="n">
        <v>175.68</v>
      </c>
    </row>
    <row r="5">
      <c r="A5" t="inlineStr">
        <is>
          <t>OMW-K-011</t>
        </is>
      </c>
      <c r="B5" t="inlineStr">
        <is>
          <t>Ranger star belt buckle</t>
        </is>
      </c>
      <c r="C5" t="inlineStr">
        <is>
          <t>Turquoise Trail Santa Fe</t>
        </is>
      </c>
      <c r="D5" t="n">
        <v>780</v>
      </c>
      <c r="E5" t="inlineStr">
        <is>
          <t>40%</t>
        </is>
      </c>
      <c r="F5" t="n">
        <v>178</v>
      </c>
      <c r="G5" t="n">
        <v>24.5</v>
      </c>
      <c r="H5" t="n">
        <v>22.62</v>
      </c>
      <c r="I5" t="n">
        <v>242.88</v>
      </c>
    </row>
    <row r="6">
      <c r="A6" t="inlineStr">
        <is>
          <t>OMW-C-043</t>
        </is>
      </c>
      <c r="B6" t="inlineStr">
        <is>
          <t>Sleeping Beauty petite cuff</t>
        </is>
      </c>
      <c r="C6" t="inlineStr">
        <is>
          <t>Red Earth Sedona</t>
        </is>
      </c>
      <c r="D6" t="n">
        <v>475</v>
      </c>
      <c r="E6" t="inlineStr">
        <is>
          <t>45%</t>
        </is>
      </c>
      <c r="F6" t="n">
        <v>102</v>
      </c>
      <c r="G6" t="n">
        <v>24.5</v>
      </c>
      <c r="H6" t="n">
        <v>13.78</v>
      </c>
      <c r="I6" t="n">
        <v>120.97</v>
      </c>
    </row>
    <row r="7">
      <c r="A7" t="inlineStr">
        <is>
          <t>OMW-B-018</t>
        </is>
      </c>
      <c r="B7" t="inlineStr">
        <is>
          <t>Silver eagle bolo tie</t>
        </is>
      </c>
      <c r="C7" t="inlineStr">
        <is>
          <t>Red Earth Sedona</t>
        </is>
      </c>
      <c r="D7" t="n">
        <v>340</v>
      </c>
      <c r="E7" t="inlineStr">
        <is>
          <t>45%</t>
        </is>
      </c>
      <c r="F7" t="n">
        <v>76</v>
      </c>
      <c r="G7" t="n">
        <v>24.5</v>
      </c>
      <c r="H7" t="n">
        <v>9.859999999999999</v>
      </c>
      <c r="I7" t="n">
        <v>76.64</v>
      </c>
    </row>
    <row r="8">
      <c r="A8" t="inlineStr">
        <is>
          <t>OMW-K-012</t>
        </is>
      </c>
      <c r="B8" t="inlineStr">
        <is>
          <t>Concho ridge belt buckle</t>
        </is>
      </c>
      <c r="C8" t="inlineStr">
        <is>
          <t>Red Earth Sedona</t>
        </is>
      </c>
      <c r="D8" t="n">
        <v>850</v>
      </c>
      <c r="E8" t="inlineStr">
        <is>
          <t>45%</t>
        </is>
      </c>
      <c r="F8" t="n">
        <v>195</v>
      </c>
      <c r="G8" t="n">
        <v>24.5</v>
      </c>
      <c r="H8" t="n">
        <v>24.65</v>
      </c>
      <c r="I8" t="n">
        <v>223.35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12" customWidth="1" min="5" max="5"/>
    <col width="24" customWidth="1" min="6" max="6"/>
    <col width="16" customWidth="1" min="7" max="7"/>
  </cols>
  <sheetData>
    <row r="1">
      <c r="A1" s="1" t="inlineStr">
        <is>
          <t>Quarter</t>
        </is>
      </c>
      <c r="B1" s="1" t="inlineStr">
        <is>
          <t>Gross receipts</t>
        </is>
      </c>
      <c r="C1" s="1" t="inlineStr">
        <is>
          <t>Materials cost</t>
        </is>
      </c>
      <c r="D1" s="1" t="inlineStr">
        <is>
          <t>Contractor labor</t>
        </is>
      </c>
      <c r="E1" s="1" t="inlineStr">
        <is>
          <t>Shipping</t>
        </is>
      </c>
      <c r="F1" s="1" t="inlineStr">
        <is>
          <t>Gallery commissions paid</t>
        </is>
      </c>
      <c r="G1" s="1" t="inlineStr">
        <is>
          <t>Net cash flow</t>
        </is>
      </c>
    </row>
    <row r="2">
      <c r="A2" t="inlineStr">
        <is>
          <t>Q1</t>
        </is>
      </c>
      <c r="B2" t="n">
        <v>3540</v>
      </c>
      <c r="C2" t="n">
        <v>3820.1</v>
      </c>
      <c r="D2" t="n">
        <v>0</v>
      </c>
      <c r="E2" t="n">
        <v>210.5</v>
      </c>
      <c r="F2" t="n">
        <v>720</v>
      </c>
      <c r="G2" t="n">
        <v>-1210.6</v>
      </c>
    </row>
    <row r="3">
      <c r="A3" t="inlineStr">
        <is>
          <t>Q2</t>
        </is>
      </c>
      <c r="B3" t="n">
        <v>4310</v>
      </c>
      <c r="C3" t="n">
        <v>4210.55</v>
      </c>
      <c r="D3" t="n">
        <v>480</v>
      </c>
      <c r="E3" t="n">
        <v>240</v>
      </c>
      <c r="F3" t="n">
        <v>815</v>
      </c>
      <c r="G3" t="n">
        <v>-1435.55</v>
      </c>
    </row>
    <row r="4">
      <c r="A4" t="inlineStr">
        <is>
          <t>Q3</t>
        </is>
      </c>
      <c r="B4" t="n">
        <v>6295</v>
      </c>
      <c r="C4" t="n">
        <v>4847.22</v>
      </c>
      <c r="D4" t="n">
        <v>1500</v>
      </c>
      <c r="E4" t="n">
        <v>267.5</v>
      </c>
      <c r="F4" t="n">
        <v>968</v>
      </c>
      <c r="G4" t="n">
        <v>-1287.72</v>
      </c>
    </row>
    <row r="5">
      <c r="A5" t="inlineStr">
        <is>
          <t>Q4 (through Dec 1)</t>
        </is>
      </c>
      <c r="B5" t="n">
        <v>3894.5</v>
      </c>
      <c r="C5" t="n">
        <v>3105.8</v>
      </c>
      <c r="D5" t="n">
        <v>1140</v>
      </c>
      <c r="E5" t="n">
        <v>269.5</v>
      </c>
      <c r="F5" t="n">
        <v>713</v>
      </c>
      <c r="G5" t="n">
        <v>-1333.8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2026-07-02T07:04:27Z</dcterms:created>
  <dcterms:modified xmlns:dcterms="http://purl.org/dc/terms/" xmlns:xsi="http://www.w3.org/2001/XMLSchema-instance" xsi:type="dcterms:W3CDTF">2026-07-02T07:04:27Z</dcterms:modified>
</cp:coreProperties>
</file>