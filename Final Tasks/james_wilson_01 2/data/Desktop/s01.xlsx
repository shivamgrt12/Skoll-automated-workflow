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b 2026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EDE0CC"/>
      <sz val="11"/>
    </font>
    <font>
      <name val="Calibri"/>
      <b val="1"/>
      <color rgb="00FFFFFF"/>
      <sz val="9"/>
    </font>
    <font>
      <name val="Calibri"/>
      <color rgb="002C2820"/>
      <sz val="9"/>
    </font>
    <font>
      <name val="Calibri"/>
      <b val="1"/>
      <color rgb="002C2820"/>
      <sz val="9"/>
    </font>
    <font>
      <name val="Calibri"/>
      <b val="1"/>
      <color rgb="004A7A3A"/>
      <sz val="9"/>
    </font>
    <font>
      <name val="Calibri"/>
      <b val="1"/>
      <color rgb="008E3A30"/>
      <sz val="9"/>
    </font>
  </fonts>
  <fills count="9">
    <fill>
      <patternFill/>
    </fill>
    <fill>
      <patternFill patternType="gray125"/>
    </fill>
    <fill>
      <patternFill patternType="solid">
        <fgColor rgb="002C2820"/>
      </patternFill>
    </fill>
    <fill>
      <patternFill patternType="solid">
        <fgColor rgb="007A5540"/>
      </patternFill>
    </fill>
    <fill>
      <patternFill patternType="solid">
        <fgColor rgb="006A6058"/>
      </patternFill>
    </fill>
    <fill>
      <patternFill patternType="solid">
        <fgColor rgb="00F7F2EA"/>
      </patternFill>
    </fill>
    <fill>
      <patternFill patternType="solid">
        <fgColor rgb="00FFFFFF"/>
      </patternFill>
    </fill>
    <fill>
      <patternFill patternType="solid">
        <fgColor rgb="00E8F0E0"/>
      </patternFill>
    </fill>
    <fill>
      <patternFill patternType="solid">
        <fgColor rgb="00F5E8E8"/>
      </patternFill>
    </fill>
  </fills>
  <borders count="2">
    <border>
      <left/>
      <right/>
      <top/>
      <bottom/>
      <diagonal/>
    </border>
    <border>
      <left style="thin">
        <color rgb="00CCBBAA"/>
      </left>
      <right style="thin">
        <color rgb="00CCBBAA"/>
      </right>
      <top style="thin">
        <color rgb="00CCBBAA"/>
      </top>
      <bottom style="thin">
        <color rgb="00CCBB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7" borderId="1" pivotButton="0" quotePrefix="0" xfId="0"/>
    <xf numFmtId="0" fontId="6" fillId="8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Wilson Ceramics + Personal Budget Tracker  |  James A. Wilson</t>
        </is>
      </c>
    </row>
    <row r="2">
      <c r="A2" s="2" t="inlineStr">
        <is>
          <t>Category</t>
        </is>
      </c>
      <c r="B2" s="2" t="inlineStr">
        <is>
          <t>Budget</t>
        </is>
      </c>
      <c r="C2" s="2" t="inlineStr">
        <is>
          <t>Oct 2025</t>
        </is>
      </c>
      <c r="D2" s="2" t="inlineStr">
        <is>
          <t>Nov 2025</t>
        </is>
      </c>
      <c r="E2" s="2" t="inlineStr">
        <is>
          <t>Dec 2025</t>
        </is>
      </c>
      <c r="F2" s="2" t="inlineStr">
        <is>
          <t>Jan 2026</t>
        </is>
      </c>
      <c r="G2" s="2" t="inlineStr">
        <is>
          <t>Feb 2026</t>
        </is>
      </c>
      <c r="H2" s="2" t="inlineStr">
        <is>
          <t>Avg Actual</t>
        </is>
      </c>
    </row>
    <row r="3">
      <c r="A3" s="3" t="inlineStr">
        <is>
          <t>INCOME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4" t="inlineStr">
        <is>
          <t>Community classes</t>
        </is>
      </c>
      <c r="B4" s="4" t="n">
        <v>1800</v>
      </c>
      <c r="C4" s="4" t="n">
        <v>1800</v>
      </c>
      <c r="D4" s="4" t="n">
        <v>1800</v>
      </c>
      <c r="E4" s="4" t="n">
        <v>1800</v>
      </c>
      <c r="F4" s="4" t="n">
        <v>1800</v>
      </c>
      <c r="G4" s="4" t="n">
        <v>1800</v>
      </c>
      <c r="H4" s="4" t="n">
        <v>1800</v>
      </c>
    </row>
    <row r="5">
      <c r="A5" s="5" t="inlineStr">
        <is>
          <t>Adjunct teaching (semester)</t>
        </is>
      </c>
      <c r="B5" s="5" t="n">
        <v>1420</v>
      </c>
      <c r="C5" s="5" t="n">
        <v>1420</v>
      </c>
      <c r="D5" s="5" t="n">
        <v>1420</v>
      </c>
      <c r="E5" s="5" t="n">
        <v>1420</v>
      </c>
      <c r="F5" s="5" t="n">
        <v>710</v>
      </c>
      <c r="G5" s="5" t="n">
        <v>710</v>
      </c>
      <c r="H5" s="5" t="n">
        <v>1136</v>
      </c>
    </row>
    <row r="6">
      <c r="A6" s="4" t="inlineStr">
        <is>
          <t>Etsy + piece sales</t>
        </is>
      </c>
      <c r="B6" s="4" t="n">
        <v>500</v>
      </c>
      <c r="C6" s="4" t="n">
        <v>380</v>
      </c>
      <c r="D6" s="4" t="n">
        <v>420</v>
      </c>
      <c r="E6" s="4" t="n">
        <v>680</v>
      </c>
      <c r="F6" s="4" t="n">
        <v>310</v>
      </c>
      <c r="G6" s="4" t="n">
        <v>310</v>
      </c>
      <c r="H6" s="4" t="n">
        <v>486</v>
      </c>
    </row>
    <row r="7">
      <c r="A7" s="5" t="inlineStr">
        <is>
          <t>Commission payments received</t>
        </is>
      </c>
      <c r="B7" s="5" t="n">
        <v>300</v>
      </c>
      <c r="C7" s="5" t="n">
        <v>0</v>
      </c>
      <c r="D7" s="5" t="n">
        <v>420</v>
      </c>
      <c r="E7" s="5" t="n">
        <v>0</v>
      </c>
      <c r="F7" s="5" t="n">
        <v>310</v>
      </c>
      <c r="G7" s="5" t="n">
        <v>310</v>
      </c>
      <c r="H7" s="5" t="n">
        <v>208</v>
      </c>
    </row>
    <row r="8">
      <c r="A8" s="6" t="inlineStr">
        <is>
          <t>TOTAL INCOME</t>
        </is>
      </c>
      <c r="B8" s="7">
        <f>SUM(B4:B7)</f>
        <v/>
      </c>
      <c r="C8" s="7">
        <f>SUM(C4:C7)</f>
        <v/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  <c r="H8" s="7">
        <f>SUM(H4:H7)</f>
        <v/>
      </c>
    </row>
    <row r="9">
      <c r="A9" s="3" t="inlineStr">
        <is>
          <t>EXPENSES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4" t="inlineStr">
        <is>
          <t>Apartment rent</t>
        </is>
      </c>
      <c r="B10" s="4" t="n">
        <v>800</v>
      </c>
      <c r="C10" s="4" t="n">
        <v>800</v>
      </c>
      <c r="D10" s="4" t="n">
        <v>800</v>
      </c>
      <c r="E10" s="4" t="n">
        <v>800</v>
      </c>
      <c r="F10" s="4" t="n">
        <v>800</v>
      </c>
      <c r="G10" s="4" t="n">
        <v>800</v>
      </c>
      <c r="H10" s="4" t="n">
        <v>800</v>
      </c>
    </row>
    <row r="11">
      <c r="A11" s="5" t="inlineStr">
        <is>
          <t>Studio lease</t>
        </is>
      </c>
      <c r="B11" s="5" t="n">
        <v>300</v>
      </c>
      <c r="C11" s="5" t="n">
        <v>300</v>
      </c>
      <c r="D11" s="5" t="n">
        <v>300</v>
      </c>
      <c r="E11" s="5" t="n">
        <v>300</v>
      </c>
      <c r="F11" s="5" t="n">
        <v>300</v>
      </c>
      <c r="G11" s="5" t="n">
        <v>300</v>
      </c>
      <c r="H11" s="5" t="n">
        <v>300</v>
      </c>
    </row>
    <row r="12">
      <c r="A12" s="4" t="inlineStr">
        <is>
          <t>ACA health insurance</t>
        </is>
      </c>
      <c r="B12" s="4" t="n">
        <v>210</v>
      </c>
      <c r="C12" s="4" t="n">
        <v>210</v>
      </c>
      <c r="D12" s="4" t="n">
        <v>210</v>
      </c>
      <c r="E12" s="4" t="n">
        <v>210</v>
      </c>
      <c r="F12" s="4" t="n">
        <v>210</v>
      </c>
      <c r="G12" s="4" t="n">
        <v>210</v>
      </c>
      <c r="H12" s="4" t="n">
        <v>210</v>
      </c>
    </row>
    <row r="13">
      <c r="A13" s="5" t="inlineStr">
        <is>
          <t>Medications (sertraline + supplements)</t>
        </is>
      </c>
      <c r="B13" s="5" t="n">
        <v>60</v>
      </c>
      <c r="C13" s="5" t="n">
        <v>55</v>
      </c>
      <c r="D13" s="5" t="n">
        <v>60</v>
      </c>
      <c r="E13" s="5" t="n">
        <v>60</v>
      </c>
      <c r="F13" s="5" t="n">
        <v>58</v>
      </c>
      <c r="G13" s="5" t="n">
        <v>58</v>
      </c>
      <c r="H13" s="5" t="n">
        <v>59</v>
      </c>
    </row>
    <row r="14">
      <c r="A14" s="4" t="inlineStr">
        <is>
          <t>Therapy copays (4 per month)</t>
        </is>
      </c>
      <c r="B14" s="4" t="n">
        <v>160</v>
      </c>
      <c r="C14" s="4" t="n">
        <v>160</v>
      </c>
      <c r="D14" s="4" t="n">
        <v>160</v>
      </c>
      <c r="E14" s="4" t="n">
        <v>160</v>
      </c>
      <c r="F14" s="4" t="n">
        <v>160</v>
      </c>
      <c r="G14" s="4" t="n">
        <v>160</v>
      </c>
      <c r="H14" s="4" t="n">
        <v>160</v>
      </c>
    </row>
    <row r="15">
      <c r="A15" s="5" t="inlineStr">
        <is>
          <t>Groceries</t>
        </is>
      </c>
      <c r="B15" s="5" t="n">
        <v>280</v>
      </c>
      <c r="C15" s="5" t="n">
        <v>265</v>
      </c>
      <c r="D15" s="5" t="n">
        <v>290</v>
      </c>
      <c r="E15" s="5" t="n">
        <v>310</v>
      </c>
      <c r="F15" s="5" t="n">
        <v>255</v>
      </c>
      <c r="G15" s="5" t="n">
        <v>255</v>
      </c>
      <c r="H15" s="5" t="n">
        <v>280</v>
      </c>
    </row>
    <row r="16">
      <c r="A16" s="4" t="inlineStr">
        <is>
          <t>Gas + vehicle</t>
        </is>
      </c>
      <c r="B16" s="4" t="n">
        <v>110</v>
      </c>
      <c r="C16" s="4" t="n">
        <v>98</v>
      </c>
      <c r="D16" s="4" t="n">
        <v>115</v>
      </c>
      <c r="E16" s="4" t="n">
        <v>130</v>
      </c>
      <c r="F16" s="4" t="n">
        <v>90</v>
      </c>
      <c r="G16" s="4" t="n">
        <v>90</v>
      </c>
      <c r="H16" s="4" t="n">
        <v>108</v>
      </c>
    </row>
    <row r="17">
      <c r="A17" s="5" t="inlineStr">
        <is>
          <t>Phone (shared family plan)</t>
        </is>
      </c>
      <c r="B17" s="5" t="n">
        <v>45</v>
      </c>
      <c r="C17" s="5" t="n">
        <v>45</v>
      </c>
      <c r="D17" s="5" t="n">
        <v>45</v>
      </c>
      <c r="E17" s="5" t="n">
        <v>45</v>
      </c>
      <c r="F17" s="5" t="n">
        <v>45</v>
      </c>
      <c r="G17" s="5" t="n">
        <v>45</v>
      </c>
      <c r="H17" s="5" t="n">
        <v>45</v>
      </c>
    </row>
    <row r="18">
      <c r="A18" s="4" t="inlineStr">
        <is>
          <t>Internet</t>
        </is>
      </c>
      <c r="B18" s="4" t="n">
        <v>60</v>
      </c>
      <c r="C18" s="4" t="n">
        <v>60</v>
      </c>
      <c r="D18" s="4" t="n">
        <v>60</v>
      </c>
      <c r="E18" s="4" t="n">
        <v>60</v>
      </c>
      <c r="F18" s="4" t="n">
        <v>60</v>
      </c>
      <c r="G18" s="4" t="n">
        <v>60</v>
      </c>
      <c r="H18" s="4" t="n">
        <v>60</v>
      </c>
    </row>
    <row r="19">
      <c r="A19" s="5" t="inlineStr">
        <is>
          <t>Student loan (IBR)</t>
        </is>
      </c>
      <c r="B19" s="5" t="n">
        <v>120</v>
      </c>
      <c r="C19" s="5" t="n">
        <v>120</v>
      </c>
      <c r="D19" s="5" t="n">
        <v>120</v>
      </c>
      <c r="E19" s="5" t="n">
        <v>120</v>
      </c>
      <c r="F19" s="5" t="n">
        <v>120</v>
      </c>
      <c r="G19" s="5" t="n">
        <v>120</v>
      </c>
      <c r="H19" s="5" t="n">
        <v>120</v>
      </c>
    </row>
    <row r="20">
      <c r="A20" s="4" t="inlineStr">
        <is>
          <t>Clay + supplies (studio)</t>
        </is>
      </c>
      <c r="B20" s="4" t="n">
        <v>120</v>
      </c>
      <c r="C20" s="4" t="n">
        <v>95</v>
      </c>
      <c r="D20" s="4" t="n">
        <v>140</v>
      </c>
      <c r="E20" s="4" t="n">
        <v>210</v>
      </c>
      <c r="F20" s="4" t="n">
        <v>65</v>
      </c>
      <c r="G20" s="4" t="n">
        <v>65</v>
      </c>
      <c r="H20" s="4" t="n">
        <v>185</v>
      </c>
    </row>
    <row r="21">
      <c r="A21" s="5" t="inlineStr">
        <is>
          <t>Shipping + packaging (Etsy)</t>
        </is>
      </c>
      <c r="B21" s="5" t="n">
        <v>55</v>
      </c>
      <c r="C21" s="5" t="n">
        <v>40</v>
      </c>
      <c r="D21" s="5" t="n">
        <v>50</v>
      </c>
      <c r="E21" s="5" t="n">
        <v>85</v>
      </c>
      <c r="F21" s="5" t="n">
        <v>30</v>
      </c>
      <c r="G21" s="5" t="n">
        <v>30</v>
      </c>
      <c r="H21" s="5" t="n">
        <v>53</v>
      </c>
    </row>
    <row r="22">
      <c r="A22" s="4" t="inlineStr">
        <is>
          <t>Roth IRA deposit</t>
        </is>
      </c>
      <c r="B22" s="4" t="n">
        <v>50</v>
      </c>
      <c r="C22" s="4" t="n">
        <v>50</v>
      </c>
      <c r="D22" s="4" t="n">
        <v>50</v>
      </c>
      <c r="E22" s="4" t="n">
        <v>50</v>
      </c>
      <c r="F22" s="4" t="n">
        <v>50</v>
      </c>
      <c r="G22" s="4" t="n">
        <v>50</v>
      </c>
      <c r="H22" s="4" t="n">
        <v>50</v>
      </c>
    </row>
    <row r="23">
      <c r="A23" s="5" t="inlineStr">
        <is>
          <t>Misc + discretionary</t>
        </is>
      </c>
      <c r="B23" s="5" t="n">
        <v>100</v>
      </c>
      <c r="C23" s="5" t="n">
        <v>85</v>
      </c>
      <c r="D23" s="5" t="n">
        <v>130</v>
      </c>
      <c r="E23" s="5" t="n">
        <v>145</v>
      </c>
      <c r="F23" s="5" t="n">
        <v>70</v>
      </c>
      <c r="G23" s="5" t="n">
        <v>70</v>
      </c>
      <c r="H23" s="5" t="n">
        <v>101</v>
      </c>
    </row>
    <row r="24">
      <c r="A24" s="6" t="inlineStr">
        <is>
          <t>TOTAL EXPENSES</t>
        </is>
      </c>
      <c r="B24" s="8">
        <f>SUM(B10:B23)</f>
        <v/>
      </c>
      <c r="C24" s="8">
        <f>SUM(C10:C23)</f>
        <v/>
      </c>
      <c r="D24" s="8">
        <f>SUM(D10:D23)</f>
        <v/>
      </c>
      <c r="E24" s="8">
        <f>SUM(E10:E23)</f>
        <v/>
      </c>
      <c r="F24" s="8">
        <f>SUM(F10:F23)</f>
        <v/>
      </c>
      <c r="G24" s="8">
        <f>SUM(G10:G23)</f>
        <v/>
      </c>
      <c r="H24" s="8">
        <f>SUM(H10:H23)</f>
        <v/>
      </c>
    </row>
    <row r="25">
      <c r="A25" s="6" t="inlineStr">
        <is>
          <t>NET (before tax set-aside)</t>
        </is>
      </c>
      <c r="B25" s="9">
        <f>B8-B24</f>
        <v/>
      </c>
      <c r="C25" s="9">
        <f>C8-C24</f>
        <v/>
      </c>
      <c r="D25" s="9">
        <f>D8-D24</f>
        <v/>
      </c>
      <c r="E25" s="9">
        <f>E8-E24</f>
        <v/>
      </c>
      <c r="F25" s="9">
        <f>F8-F24</f>
        <v/>
      </c>
      <c r="G25" s="9">
        <f>G8-G24</f>
        <v/>
      </c>
      <c r="H25" s="9">
        <f>H8-H24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12" customWidth="1" min="4" max="4"/>
    <col width="22" customWidth="1" min="5" max="5"/>
    <col width="28" customWidth="1" min="6" max="6"/>
  </cols>
  <sheetData>
    <row r="1">
      <c r="A1" s="1" t="inlineStr">
        <is>
          <t>February 2026 - Transaction Detail</t>
        </is>
      </c>
    </row>
    <row r="2">
      <c r="A2" s="2" t="inlineStr">
        <is>
          <t>Date</t>
        </is>
      </c>
      <c r="B2" s="2" t="inlineStr">
        <is>
          <t>Payee / Description</t>
        </is>
      </c>
      <c r="C2" s="2" t="inlineStr">
        <is>
          <t>Category</t>
        </is>
      </c>
      <c r="D2" s="2" t="inlineStr">
        <is>
          <t>Amount</t>
        </is>
      </c>
      <c r="E2" s="2" t="inlineStr">
        <is>
          <t>Account</t>
        </is>
      </c>
      <c r="F2" s="2" t="inlineStr">
        <is>
          <t>Notes</t>
        </is>
      </c>
    </row>
    <row r="3">
      <c r="A3" s="5" t="inlineStr">
        <is>
          <t>Feb 1 2026</t>
        </is>
      </c>
      <c r="B3" s="5" t="inlineStr">
        <is>
          <t>Studio lease Feb</t>
        </is>
      </c>
      <c r="C3" s="5" t="inlineStr">
        <is>
          <t>Studio lease</t>
        </is>
      </c>
      <c r="D3" s="5" t="n">
        <v>-300</v>
      </c>
      <c r="E3" s="5" t="inlineStr">
        <is>
          <t>City National checking</t>
        </is>
      </c>
      <c r="F3" s="5" t="inlineStr">
        <is>
          <t>Auto-pay</t>
        </is>
      </c>
    </row>
    <row r="4">
      <c r="A4" s="4" t="inlineStr">
        <is>
          <t>Feb 1 2026</t>
        </is>
      </c>
      <c r="B4" s="4" t="inlineStr">
        <is>
          <t>Apartment rent Feb</t>
        </is>
      </c>
      <c r="C4" s="4" t="inlineStr">
        <is>
          <t>Rent</t>
        </is>
      </c>
      <c r="D4" s="4" t="n">
        <v>-800</v>
      </c>
      <c r="E4" s="4" t="inlineStr">
        <is>
          <t>City National checking</t>
        </is>
      </c>
      <c r="F4" s="4" t="inlineStr">
        <is>
          <t>Auto-pay</t>
        </is>
      </c>
    </row>
    <row r="5">
      <c r="A5" s="5" t="inlineStr">
        <is>
          <t>Feb 3 2026</t>
        </is>
      </c>
      <c r="B5" s="5" t="inlineStr">
        <is>
          <t>IBR student loan payment</t>
        </is>
      </c>
      <c r="C5" s="5" t="inlineStr">
        <is>
          <t>Loan</t>
        </is>
      </c>
      <c r="D5" s="5" t="n">
        <v>-120</v>
      </c>
      <c r="E5" s="5" t="inlineStr">
        <is>
          <t>City National checking</t>
        </is>
      </c>
      <c r="F5" s="5" t="inlineStr">
        <is>
          <t>Auto-pay, FedLoan</t>
        </is>
      </c>
    </row>
    <row r="6">
      <c r="A6" s="4" t="inlineStr">
        <is>
          <t>Feb 3 2026</t>
        </is>
      </c>
      <c r="B6" s="4" t="inlineStr">
        <is>
          <t>Charleston Clay Co - clay order</t>
        </is>
      </c>
      <c r="C6" s="4" t="inlineStr">
        <is>
          <t>Studio supplies</t>
        </is>
      </c>
      <c r="D6" s="4" t="n">
        <v>-414.5</v>
      </c>
      <c r="E6" s="4" t="inlineStr">
        <is>
          <t>City National checking</t>
        </is>
      </c>
      <c r="F6" s="4" t="inlineStr">
        <is>
          <t>Inv WC-ORD-2026-0203</t>
        </is>
      </c>
    </row>
    <row r="7">
      <c r="A7" s="5" t="inlineStr">
        <is>
          <t>Feb 4 2026</t>
        </is>
      </c>
      <c r="B7" s="5" t="inlineStr">
        <is>
          <t>Etsy deposit - 4 mugs</t>
        </is>
      </c>
      <c r="C7" s="5" t="inlineStr">
        <is>
          <t>Etsy sales</t>
        </is>
      </c>
      <c r="D7" s="5" t="n">
        <v>192</v>
      </c>
      <c r="E7" s="5" t="inlineStr">
        <is>
          <t>PayPal &gt; checking</t>
        </is>
      </c>
      <c r="F7" s="5" t="inlineStr">
        <is>
          <t>4x$48</t>
        </is>
      </c>
    </row>
    <row r="8">
      <c r="A8" s="4" t="inlineStr">
        <is>
          <t>Feb 5 2026</t>
        </is>
      </c>
      <c r="B8" s="4" t="inlineStr">
        <is>
          <t>Rite Aid - sertraline + IBgard</t>
        </is>
      </c>
      <c r="C8" s="4" t="inlineStr">
        <is>
          <t>Medications</t>
        </is>
      </c>
      <c r="D8" s="4" t="n">
        <v>-28</v>
      </c>
      <c r="E8" s="4" t="inlineStr">
        <is>
          <t>City National checking</t>
        </is>
      </c>
      <c r="F8" s="4" t="inlineStr"/>
    </row>
    <row r="9">
      <c r="A9" s="5" t="inlineStr">
        <is>
          <t>Feb 7 2026</t>
        </is>
      </c>
      <c r="B9" s="5" t="inlineStr">
        <is>
          <t>Community class Week 2 payments</t>
        </is>
      </c>
      <c r="C9" s="5" t="inlineStr">
        <is>
          <t>Classes</t>
        </is>
      </c>
      <c r="D9" s="5" t="n">
        <v>300</v>
      </c>
      <c r="E9" s="5" t="inlineStr">
        <is>
          <t>Venmo &gt; checking</t>
        </is>
      </c>
      <c r="F9" s="5" t="inlineStr">
        <is>
          <t>2.5 students, partial</t>
        </is>
      </c>
    </row>
    <row r="10">
      <c r="A10" s="4" t="inlineStr">
        <is>
          <t>Feb 10 2026</t>
        </is>
      </c>
      <c r="B10" s="4" t="inlineStr">
        <is>
          <t>Marco Holcomb deposit (50%)</t>
        </is>
      </c>
      <c r="C10" s="4" t="inlineStr">
        <is>
          <t>Commission</t>
        </is>
      </c>
      <c r="D10" s="4" t="n">
        <v>420</v>
      </c>
      <c r="E10" s="4" t="inlineStr">
        <is>
          <t>Zelle &gt; checking</t>
        </is>
      </c>
      <c r="F10" s="4" t="inlineStr">
        <is>
          <t>12-piece dinnerware</t>
        </is>
      </c>
    </row>
    <row r="11">
      <c r="A11" s="5" t="inlineStr">
        <is>
          <t>Feb 10 2026</t>
        </is>
      </c>
      <c r="B11" s="5" t="inlineStr">
        <is>
          <t>Roth IRA auto-deposit</t>
        </is>
      </c>
      <c r="C11" s="5" t="inlineStr">
        <is>
          <t>Savings</t>
        </is>
      </c>
      <c r="D11" s="5" t="n">
        <v>-50</v>
      </c>
      <c r="E11" s="5" t="inlineStr">
        <is>
          <t>Alpaca &gt; checking</t>
        </is>
      </c>
      <c r="F11" s="5" t="inlineStr">
        <is>
          <t>Monthly</t>
        </is>
      </c>
    </row>
    <row r="12">
      <c r="A12" s="4" t="inlineStr">
        <is>
          <t>Feb 12 2026</t>
        </is>
      </c>
      <c r="B12" s="4" t="inlineStr">
        <is>
          <t>Safeway groceries</t>
        </is>
      </c>
      <c r="C12" s="4" t="inlineStr">
        <is>
          <t>Groceries</t>
        </is>
      </c>
      <c r="D12" s="4" t="n">
        <v>-89</v>
      </c>
      <c r="E12" s="4" t="inlineStr">
        <is>
          <t>Debit card</t>
        </is>
      </c>
      <c r="F12" s="4" t="inlineStr"/>
    </row>
    <row r="13">
      <c r="A13" s="5" t="inlineStr">
        <is>
          <t>Feb 14 2026</t>
        </is>
      </c>
      <c r="B13" s="5" t="inlineStr">
        <is>
          <t>Kroger groceries</t>
        </is>
      </c>
      <c r="C13" s="5" t="inlineStr">
        <is>
          <t>Groceries</t>
        </is>
      </c>
      <c r="D13" s="5" t="n">
        <v>-76</v>
      </c>
      <c r="E13" s="5" t="inlineStr">
        <is>
          <t>Debit card</t>
        </is>
      </c>
      <c r="F13" s="5" t="inlineStr"/>
    </row>
    <row r="14">
      <c r="A14" s="4" t="inlineStr">
        <is>
          <t>Feb 14 2026</t>
        </is>
      </c>
      <c r="B14" s="4" t="inlineStr">
        <is>
          <t>Spectrum internet</t>
        </is>
      </c>
      <c r="C14" s="4" t="inlineStr">
        <is>
          <t>Internet</t>
        </is>
      </c>
      <c r="D14" s="4" t="n">
        <v>-60</v>
      </c>
      <c r="E14" s="4" t="inlineStr">
        <is>
          <t>City National checking</t>
        </is>
      </c>
      <c r="F14" s="4" t="inlineStr">
        <is>
          <t>Auto-pay</t>
        </is>
      </c>
    </row>
    <row r="15">
      <c r="A15" s="5" t="inlineStr">
        <is>
          <t>Feb 15 2026</t>
        </is>
      </c>
      <c r="B15" s="5" t="inlineStr">
        <is>
          <t>Adjunct payroll UC - half semester</t>
        </is>
      </c>
      <c r="C15" s="5" t="inlineStr">
        <is>
          <t>Adjunct</t>
        </is>
      </c>
      <c r="D15" s="5" t="n">
        <v>710</v>
      </c>
      <c r="E15" s="5" t="inlineStr">
        <is>
          <t>Direct deposit</t>
        </is>
      </c>
      <c r="F15" s="5" t="inlineStr">
        <is>
          <t>Spring 2026 half</t>
        </is>
      </c>
    </row>
    <row r="16">
      <c r="A16" s="4" t="inlineStr">
        <is>
          <t>Feb 18 2026</t>
        </is>
      </c>
      <c r="B16" s="4" t="inlineStr">
        <is>
          <t>Dr. Morris CBT session copay</t>
        </is>
      </c>
      <c r="C16" s="4" t="inlineStr">
        <is>
          <t>Therapy</t>
        </is>
      </c>
      <c r="D16" s="4" t="n">
        <v>-40</v>
      </c>
      <c r="E16" s="4" t="inlineStr">
        <is>
          <t>City National debit</t>
        </is>
      </c>
      <c r="F16" s="4" t="inlineStr"/>
    </row>
    <row r="17">
      <c r="A17" s="5" t="inlineStr">
        <is>
          <t>Feb 19 2026</t>
        </is>
      </c>
      <c r="B17" s="5" t="inlineStr">
        <is>
          <t>Community class Week 4 - full session</t>
        </is>
      </c>
      <c r="C17" s="5" t="inlineStr">
        <is>
          <t>Classes</t>
        </is>
      </c>
      <c r="D17" s="5" t="n">
        <v>600</v>
      </c>
      <c r="E17" s="5" t="inlineStr">
        <is>
          <t>Cash + Venmo</t>
        </is>
      </c>
      <c r="F17" s="5" t="inlineStr">
        <is>
          <t>5 students</t>
        </is>
      </c>
    </row>
    <row r="18">
      <c r="A18" s="4" t="inlineStr">
        <is>
          <t>Feb 20 2026</t>
        </is>
      </c>
      <c r="B18" s="4" t="inlineStr">
        <is>
          <t>Etsy deposit - 2 oil bottles</t>
        </is>
      </c>
      <c r="C18" s="4" t="inlineStr">
        <is>
          <t>Etsy sales</t>
        </is>
      </c>
      <c r="D18" s="4" t="n">
        <v>124</v>
      </c>
      <c r="E18" s="4" t="inlineStr">
        <is>
          <t>PayPal &gt; checking</t>
        </is>
      </c>
      <c r="F18" s="4" t="inlineStr">
        <is>
          <t>2x$62</t>
        </is>
      </c>
    </row>
    <row r="19">
      <c r="A19" s="5" t="inlineStr">
        <is>
          <t>Feb 21 2026</t>
        </is>
      </c>
      <c r="B19" s="5" t="inlineStr">
        <is>
          <t>BP gas fill - Impreza</t>
        </is>
      </c>
      <c r="C19" s="5" t="inlineStr">
        <is>
          <t>Gas</t>
        </is>
      </c>
      <c r="D19" s="5" t="n">
        <v>-52</v>
      </c>
      <c r="E19" s="5" t="inlineStr">
        <is>
          <t>Debit card</t>
        </is>
      </c>
      <c r="F19" s="5" t="inlineStr"/>
    </row>
    <row r="20">
      <c r="A20" s="4" t="inlineStr">
        <is>
          <t>Feb 22 2026</t>
        </is>
      </c>
      <c r="B20" s="4" t="inlineStr">
        <is>
          <t>Renata Okafor commission deposit 50%</t>
        </is>
      </c>
      <c r="C20" s="4" t="inlineStr">
        <is>
          <t>Commission</t>
        </is>
      </c>
      <c r="D20" s="4" t="n">
        <v>240</v>
      </c>
      <c r="E20" s="4" t="inlineStr">
        <is>
          <t>Zelle &gt; checking</t>
        </is>
      </c>
      <c r="F20" s="4" t="inlineStr">
        <is>
          <t>4 vases COM-2026-001</t>
        </is>
      </c>
    </row>
    <row r="21">
      <c r="A21" s="5" t="inlineStr">
        <is>
          <t>Feb 25 2026</t>
        </is>
      </c>
      <c r="B21" s="5" t="inlineStr">
        <is>
          <t>Trader Joe's groceries</t>
        </is>
      </c>
      <c r="C21" s="5" t="inlineStr">
        <is>
          <t>Groceries</t>
        </is>
      </c>
      <c r="D21" s="5" t="n">
        <v>-115</v>
      </c>
      <c r="E21" s="5" t="inlineStr">
        <is>
          <t>Debit card</t>
        </is>
      </c>
      <c r="F21" s="5" t="inlineStr"/>
    </row>
    <row r="22">
      <c r="A22" s="4" t="inlineStr">
        <is>
          <t>Feb 28 2026</t>
        </is>
      </c>
      <c r="B22" s="4" t="inlineStr">
        <is>
          <t>ACA premium - February</t>
        </is>
      </c>
      <c r="C22" s="4" t="inlineStr">
        <is>
          <t>Health ins</t>
        </is>
      </c>
      <c r="D22" s="4" t="n">
        <v>-210</v>
      </c>
      <c r="E22" s="4" t="inlineStr">
        <is>
          <t>City National checking</t>
        </is>
      </c>
      <c r="F22" s="4" t="inlineStr">
        <is>
          <t>Auto-pay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2026-06-30T13:25:39Z</dcterms:created>
  <dcterms:modified xmlns:dcterms="http://purl.org/dc/terms/" xmlns:xsi="http://www.w3.org/2001/XMLSchema-instance" xsi:type="dcterms:W3CDTF">2026-06-30T13:25:39Z</dcterms:modified>
</cp:coreProperties>
</file>