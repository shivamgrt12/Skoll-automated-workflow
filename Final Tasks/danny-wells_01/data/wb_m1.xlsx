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3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Wells Household Monthly Budget</t>
        </is>
      </c>
    </row>
    <row r="2">
      <c r="A2" t="inlineStr">
        <is>
          <t>Prepared:</t>
        </is>
      </c>
      <c r="B2" t="inlineStr">
        <is>
          <t>January 2026</t>
        </is>
      </c>
    </row>
    <row r="4">
      <c r="A4" s="2" t="inlineStr">
        <is>
          <t>INCOME (take-home)</t>
        </is>
      </c>
    </row>
    <row r="5">
      <c r="A5" t="inlineStr">
        <is>
          <t>Danny take-home (Oakbridge Law)</t>
        </is>
      </c>
      <c r="B5" s="3" t="n">
        <v>10500</v>
      </c>
    </row>
    <row r="6">
      <c r="A6" t="inlineStr">
        <is>
          <t>Priya take-home (Broadleaf Tech)</t>
        </is>
      </c>
      <c r="B6" s="3" t="n">
        <v>7300</v>
      </c>
    </row>
    <row r="7">
      <c r="A7" s="4" t="inlineStr">
        <is>
          <t>Total income</t>
        </is>
      </c>
      <c r="B7" s="5">
        <f>SUM(B5:B6)</f>
        <v/>
      </c>
    </row>
    <row r="9">
      <c r="A9" s="2" t="inlineStr">
        <is>
          <t>EXPENSES</t>
        </is>
      </c>
    </row>
    <row r="10">
      <c r="A10" t="inlineStr">
        <is>
          <t>Mortgage (Liberty Bell, escrow incl.)</t>
        </is>
      </c>
      <c r="B10" s="3" t="n">
        <v>3200</v>
      </c>
    </row>
    <row r="11">
      <c r="A11" t="inlineStr">
        <is>
          <t>Utilities</t>
        </is>
      </c>
      <c r="B11" s="3" t="n">
        <v>340</v>
      </c>
    </row>
    <row r="12">
      <c r="A12" t="inlineStr">
        <is>
          <t>Groceries</t>
        </is>
      </c>
      <c r="B12" s="3" t="n">
        <v>720</v>
      </c>
    </row>
    <row r="13">
      <c r="A13" t="inlineStr">
        <is>
          <t>BMW payment (BMW Financial ****2208)</t>
        </is>
      </c>
      <c r="B13" s="3" t="n">
        <v>520</v>
      </c>
    </row>
    <row r="14">
      <c r="A14" t="inlineStr">
        <is>
          <t>Car insurance (both vehicles)</t>
        </is>
      </c>
      <c r="B14" s="3" t="n">
        <v>240</v>
      </c>
    </row>
    <row r="15">
      <c r="A15" t="inlineStr">
        <is>
          <t>Gas and NJ Transit</t>
        </is>
      </c>
      <c r="B15" s="3" t="n">
        <v>280</v>
      </c>
    </row>
    <row r="16">
      <c r="A16" t="inlineStr">
        <is>
          <t>Health insurance (net)</t>
        </is>
      </c>
      <c r="B16" s="3" t="n">
        <v>380</v>
      </c>
    </row>
    <row r="17">
      <c r="A17" t="inlineStr">
        <is>
          <t>Migraine care (copays, Rx amortized)</t>
        </is>
      </c>
      <c r="B17" s="3" t="n">
        <v>95</v>
      </c>
    </row>
    <row r="18">
      <c r="A18" t="inlineStr">
        <is>
          <t>Fertility treatment (IUI amortized, net of Aetna)</t>
        </is>
      </c>
      <c r="B18" s="3" t="n">
        <v>450</v>
      </c>
    </row>
    <row r="19">
      <c r="A19" t="inlineStr">
        <is>
          <t>Subscriptions (streaming, apps)</t>
        </is>
      </c>
      <c r="B19" s="3" t="n">
        <v>92</v>
      </c>
    </row>
    <row r="20">
      <c r="A20" t="inlineStr">
        <is>
          <t>Dining out</t>
        </is>
      </c>
      <c r="B20" s="3" t="n">
        <v>380</v>
      </c>
    </row>
    <row r="21">
      <c r="A21" t="inlineStr">
        <is>
          <t>Phone (two lines)</t>
        </is>
      </c>
      <c r="B21" s="3" t="n">
        <v>120</v>
      </c>
    </row>
    <row r="22">
      <c r="A22" t="inlineStr">
        <is>
          <t>Personal spending</t>
        </is>
      </c>
      <c r="B22" s="3" t="n">
        <v>400</v>
      </c>
    </row>
    <row r="23">
      <c r="A23" t="inlineStr">
        <is>
          <t>Savings and investments</t>
        </is>
      </c>
      <c r="B23" s="3" t="n">
        <v>3500</v>
      </c>
    </row>
    <row r="24">
      <c r="A24" s="4" t="inlineStr">
        <is>
          <t>Total expenses</t>
        </is>
      </c>
      <c r="B24" s="5">
        <f>SUM(B10:B23)</f>
        <v/>
      </c>
    </row>
    <row r="26">
      <c r="A26" s="4" t="inlineStr">
        <is>
          <t>Monthly surplus (to IVF fund, travel, discretionary)</t>
        </is>
      </c>
      <c r="B26" s="5">
        <f>B7-B24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