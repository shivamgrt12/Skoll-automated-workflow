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6" customWidth="1" min="4" max="4"/>
    <col width="30" customWidth="1" min="5" max="5"/>
  </cols>
  <sheetData>
    <row r="1">
      <c r="A1" s="1" t="inlineStr">
        <is>
          <t>Household Savings &amp; Retirement Tracker</t>
        </is>
      </c>
    </row>
    <row r="2">
      <c r="A2" s="2" t="inlineStr">
        <is>
          <t>As of:</t>
        </is>
      </c>
      <c r="B2" t="inlineStr">
        <is>
          <t>December 31, 2025</t>
        </is>
      </c>
    </row>
    <row r="3">
      <c r="A3" s="2" t="inlineStr">
        <is>
          <t>Owners:</t>
        </is>
      </c>
      <c r="B3" t="inlineStr">
        <is>
          <t>Danny P. Wells and Priya Menon-Wells</t>
        </is>
      </c>
    </row>
    <row r="5">
      <c r="A5" s="3" t="inlineStr">
        <is>
          <t>Account</t>
        </is>
      </c>
      <c r="B5" s="3" t="inlineStr">
        <is>
          <t>Institution</t>
        </is>
      </c>
      <c r="C5" s="3" t="inlineStr">
        <is>
          <t>Type</t>
        </is>
      </c>
      <c r="D5" s="3" t="inlineStr">
        <is>
          <t>Balance</t>
        </is>
      </c>
      <c r="E5" s="3" t="inlineStr">
        <is>
          <t>Notes</t>
        </is>
      </c>
    </row>
    <row r="6">
      <c r="A6" s="4" t="inlineStr">
        <is>
          <t>Danny 401(k)</t>
        </is>
      </c>
      <c r="B6" s="4" t="inlineStr">
        <is>
          <t>Fidelity ****8821</t>
        </is>
      </c>
      <c r="C6" s="4" t="inlineStr">
        <is>
          <t>Pre-tax retirement</t>
        </is>
      </c>
      <c r="D6" s="5" t="n">
        <v>185400</v>
      </c>
      <c r="E6" s="4" t="inlineStr">
        <is>
          <t>Maxing employer match</t>
        </is>
      </c>
    </row>
    <row r="7">
      <c r="A7" s="4" t="inlineStr">
        <is>
          <t>Priya 401(k)</t>
        </is>
      </c>
      <c r="B7" s="4" t="inlineStr">
        <is>
          <t>Fidelity</t>
        </is>
      </c>
      <c r="C7" s="4" t="inlineStr">
        <is>
          <t>Pre-tax retirement</t>
        </is>
      </c>
      <c r="D7" s="5" t="n">
        <v>112600</v>
      </c>
      <c r="E7" s="4" t="inlineStr">
        <is>
          <t>Maxing employer match</t>
        </is>
      </c>
    </row>
    <row r="8">
      <c r="A8" s="4" t="inlineStr">
        <is>
          <t>Danny Roth IRA</t>
        </is>
      </c>
      <c r="B8" s="4" t="inlineStr">
        <is>
          <t>Fidelity</t>
        </is>
      </c>
      <c r="C8" s="4" t="inlineStr">
        <is>
          <t>Roth retirement</t>
        </is>
      </c>
      <c r="D8" s="5" t="n">
        <v>7000</v>
      </c>
      <c r="E8" s="4" t="inlineStr">
        <is>
          <t>2025 contribution complete</t>
        </is>
      </c>
    </row>
    <row r="9">
      <c r="A9" s="4" t="inlineStr">
        <is>
          <t>Priya Roth IRA</t>
        </is>
      </c>
      <c r="B9" s="4" t="inlineStr">
        <is>
          <t>Fidelity</t>
        </is>
      </c>
      <c r="C9" s="4" t="inlineStr">
        <is>
          <t>Roth retirement</t>
        </is>
      </c>
      <c r="D9" s="5" t="n">
        <v>7000</v>
      </c>
      <c r="E9" s="4" t="inlineStr">
        <is>
          <t>2025 contribution complete</t>
        </is>
      </c>
    </row>
    <row r="10">
      <c r="A10" s="4" t="inlineStr">
        <is>
          <t>Joint emergency fund</t>
        </is>
      </c>
      <c r="B10" s="4" t="inlineStr">
        <is>
          <t>Ally ****5510</t>
        </is>
      </c>
      <c r="C10" s="4" t="inlineStr">
        <is>
          <t>High-yield savings</t>
        </is>
      </c>
      <c r="D10" s="5" t="n">
        <v>42000</v>
      </c>
      <c r="E10" s="4" t="inlineStr">
        <is>
          <t>~6 months expenses</t>
        </is>
      </c>
    </row>
    <row r="11">
      <c r="A11" s="4" t="inlineStr">
        <is>
          <t>IVF fund</t>
        </is>
      </c>
      <c r="B11" s="4" t="inlineStr">
        <is>
          <t>Ally ****7741</t>
        </is>
      </c>
      <c r="C11" s="4" t="inlineStr">
        <is>
          <t>Savings (earmarked)</t>
        </is>
      </c>
      <c r="D11" s="5" t="n">
        <v>18000</v>
      </c>
      <c r="E11" s="4" t="inlineStr">
        <is>
          <t>Building for possible IVF</t>
        </is>
      </c>
    </row>
    <row r="12">
      <c r="A12" s="4" t="inlineStr">
        <is>
          <t>Joint checking</t>
        </is>
      </c>
      <c r="B12" s="4" t="inlineStr">
        <is>
          <t>Ally ****3092</t>
        </is>
      </c>
      <c r="C12" s="4" t="inlineStr">
        <is>
          <t>Checking</t>
        </is>
      </c>
      <c r="D12" s="5" t="n">
        <v>9800</v>
      </c>
      <c r="E12" s="4" t="inlineStr">
        <is>
          <t>Operating cash</t>
        </is>
      </c>
    </row>
    <row r="13">
      <c r="A13" s="6" t="inlineStr">
        <is>
          <t>Total retirement (Fidelity)</t>
        </is>
      </c>
      <c r="D13" s="7">
        <f>SUM(D6:D9)</f>
        <v/>
      </c>
    </row>
    <row r="14">
      <c r="A14" s="6" t="inlineStr">
        <is>
          <t>Total cash &amp; savings</t>
        </is>
      </c>
      <c r="D14" s="7">
        <f>SUM(D10:D12)</f>
        <v/>
      </c>
    </row>
    <row r="16">
      <c r="A16" s="6" t="inlineStr">
        <is>
          <t>Liabilities</t>
        </is>
      </c>
    </row>
    <row r="17">
      <c r="A17" t="inlineStr">
        <is>
          <t>Mortgage (Liberty Bell 4471039852)</t>
        </is>
      </c>
      <c r="D17" s="8" t="n">
        <v>-410000</v>
      </c>
    </row>
    <row r="18">
      <c r="A18" t="inlineStr">
        <is>
          <t>Auto loan (BMW Financial ****2208)</t>
        </is>
      </c>
      <c r="D18" s="8" t="n">
        <v>-22000</v>
      </c>
    </row>
    <row r="19">
      <c r="A19" t="inlineStr">
        <is>
          <t>Law school loans (refi 4.2%)</t>
        </is>
      </c>
      <c r="D19" s="8" t="n">
        <v>-38000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