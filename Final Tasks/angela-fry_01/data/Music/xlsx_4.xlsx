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u\Desktop\Fried\_staging\gen\"/>
    </mc:Choice>
  </mc:AlternateContent>
  <xr:revisionPtr revIDLastSave="0" documentId="8_{59FD5489-28FD-4269-B173-85922C9DF3A0}" xr6:coauthVersionLast="47" xr6:coauthVersionMax="47" xr10:uidLastSave="{00000000-0000-0000-0000-000000000000}"/>
  <bookViews>
    <workbookView xWindow="-108" yWindow="-108" windowWidth="23256" windowHeight="12576" xr2:uid="{4F4C62A8-1F67-4CAD-95D8-1638178A9A4A}"/>
  </bookViews>
  <sheets>
    <sheet name="Ceremo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<sst xmlns="http://schemas.openxmlformats.org/spreadsheetml/2006/main" count="68" uniqueCount="40">
  <si>
    <t>Roots Belt Ceremony - Saturday, November 14, 2026</t>
  </si>
  <si>
    <t>Equipment fund available (USD)</t>
  </si>
  <si>
    <t>Item</t>
  </si>
  <si>
    <t>Vendor</t>
  </si>
  <si>
    <t>Qty</t>
  </si>
  <si>
    <t>Unit_USD</t>
  </si>
  <si>
    <t>Total_USD</t>
  </si>
  <si>
    <t>Over_200_Gate</t>
  </si>
  <si>
    <t>Approved_By</t>
  </si>
  <si>
    <t>Status</t>
  </si>
  <si>
    <t>Cords and new belts</t>
  </si>
  <si>
    <t>Capoeira Brasil Supply</t>
  </si>
  <si>
    <t>Angela</t>
  </si>
  <si>
    <t>Approved</t>
  </si>
  <si>
    <t>Certificates printing</t>
  </si>
  <si>
    <t>Land Park Print Co</t>
  </si>
  <si>
    <t>n/a</t>
  </si>
  <si>
    <t>Standing</t>
  </si>
  <si>
    <t>Event programs</t>
  </si>
  <si>
    <t>Uniform scholarships</t>
  </si>
  <si>
    <t>Trophies and medals</t>
  </si>
  <si>
    <t>Sac Awards</t>
  </si>
  <si>
    <t>Berimbau strings (arame)</t>
  </si>
  <si>
    <t>Mestre Pintado</t>
  </si>
  <si>
    <t>Decorations</t>
  </si>
  <si>
    <t>Midtown Party Supply</t>
  </si>
  <si>
    <t>Chair rental</t>
  </si>
  <si>
    <t>Celebrations Rentals</t>
  </si>
  <si>
    <t>Photographer (half day)</t>
  </si>
  <si>
    <t>M. Alvarez Photo</t>
  </si>
  <si>
    <t>Refreshments pao de queijo</t>
  </si>
  <si>
    <t>Taylor's Market</t>
  </si>
  <si>
    <t>Refreshments brigadeiro</t>
  </si>
  <si>
    <t>Homemade</t>
  </si>
  <si>
    <t>Banner</t>
  </si>
  <si>
    <t>Sound system rental</t>
  </si>
  <si>
    <t>Mat deep clean</t>
  </si>
  <si>
    <t>ProClean Mats</t>
  </si>
  <si>
    <t>Total committed</t>
  </si>
  <si>
    <t>Remaining in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</si>
</sst>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9628-EF8D-4931-A408-82C189F6C341}">
  <dimension ref="A1:H20"/>
  <sheetViews>
    <sheetView tabSelected="1" workbookViewId="0"/>
  </sheetViews>
  <sheetFormatPr defaultRowHeight="14.4" x14ac:dyDescent="0.3"/>
  <cols>
    <col min="1" max="1" width="28.77734375" customWidth="1"/>
    <col min="2" max="2" width="22.77734375" customWidth="1"/>
    <col min="3" max="8" width="13.77734375" customWidth="1"/>
  </cols>
  <sheetData>
    <row r="1" spans="1:8" x14ac:dyDescent="0.3">
      <c r="A1" s="1" t="s">
        <v>0</v>
      </c>
    </row>
    <row r="2" spans="1:8" x14ac:dyDescent="0.3">
      <c r="A2" t="s">
        <v>1</v>
      </c>
      <c r="B2">
        <v>2600</v>
      </c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t="s">
        <v>10</v>
      </c>
      <c r="B5" t="s">
        <v>11</v>
      </c>
      <c r="C5">
        <v>20</v>
      </c>
      <c r="D5">
        <v>12</v>
      </c>
      <c r="E5">
        <f>C5*D5</f>
        <v>240</v>
      </c>
      <c r="F5" t="str">
        <f>IF(C5*D5&gt;200,"Yes","No")</f>
        <v>Yes</v>
      </c>
      <c r="G5" t="s">
        <v>12</v>
      </c>
      <c r="H5" t="s">
        <v>13</v>
      </c>
    </row>
    <row r="6" spans="1:8" x14ac:dyDescent="0.3">
      <c r="A6" t="s">
        <v>14</v>
      </c>
      <c r="B6" t="s">
        <v>15</v>
      </c>
      <c r="C6">
        <v>1</v>
      </c>
      <c r="D6">
        <v>95</v>
      </c>
      <c r="E6">
        <f>C6*D6</f>
        <v>95</v>
      </c>
      <c r="F6" t="str">
        <f>IF(C6*D6&gt;200,"Yes","No")</f>
        <v>No</v>
      </c>
      <c r="G6" t="s">
        <v>16</v>
      </c>
      <c r="H6" t="s">
        <v>17</v>
      </c>
    </row>
    <row r="7" spans="1:8" x14ac:dyDescent="0.3">
      <c r="A7" t="s">
        <v>18</v>
      </c>
      <c r="B7" t="s">
        <v>15</v>
      </c>
      <c r="C7">
        <v>90</v>
      </c>
      <c r="D7">
        <v>1.2</v>
      </c>
      <c r="E7">
        <f>C7*D7</f>
        <v>108</v>
      </c>
      <c r="F7" t="str">
        <f>IF(C7*D7&gt;200,"Yes","No")</f>
        <v>No</v>
      </c>
      <c r="G7" t="s">
        <v>16</v>
      </c>
      <c r="H7" t="s">
        <v>17</v>
      </c>
    </row>
    <row r="8" spans="1:8" x14ac:dyDescent="0.3">
      <c r="A8" t="s">
        <v>19</v>
      </c>
      <c r="B8" t="s">
        <v>11</v>
      </c>
      <c r="C8">
        <v>4</v>
      </c>
      <c r="D8">
        <v>48</v>
      </c>
      <c r="E8">
        <f>C8*D8</f>
        <v>192</v>
      </c>
      <c r="F8" t="str">
        <f>IF(C8*D8&gt;200,"Yes","No")</f>
        <v>No</v>
      </c>
      <c r="G8" t="s">
        <v>16</v>
      </c>
      <c r="H8" t="s">
        <v>17</v>
      </c>
    </row>
    <row r="9" spans="1:8" x14ac:dyDescent="0.3">
      <c r="A9" t="s">
        <v>20</v>
      </c>
      <c r="B9" t="s">
        <v>21</v>
      </c>
      <c r="C9">
        <v>24</v>
      </c>
      <c r="D9">
        <v>9.5</v>
      </c>
      <c r="E9">
        <f>C9*D9</f>
        <v>228</v>
      </c>
      <c r="F9" t="str">
        <f>IF(C9*D9&gt;200,"Yes","No")</f>
        <v>Yes</v>
      </c>
      <c r="G9" t="s">
        <v>12</v>
      </c>
      <c r="H9" t="s">
        <v>13</v>
      </c>
    </row>
    <row r="10" spans="1:8" x14ac:dyDescent="0.3">
      <c r="A10" t="s">
        <v>22</v>
      </c>
      <c r="B10" t="s">
        <v>23</v>
      </c>
      <c r="C10">
        <v>12</v>
      </c>
      <c r="D10">
        <v>4.5</v>
      </c>
      <c r="E10">
        <f>C10*D10</f>
        <v>54</v>
      </c>
      <c r="F10" t="str">
        <f>IF(C10*D10&gt;200,"Yes","No")</f>
        <v>No</v>
      </c>
      <c r="G10" t="s">
        <v>16</v>
      </c>
      <c r="H10" t="s">
        <v>17</v>
      </c>
    </row>
    <row r="11" spans="1:8" x14ac:dyDescent="0.3">
      <c r="A11" t="s">
        <v>24</v>
      </c>
      <c r="B11" t="s">
        <v>25</v>
      </c>
      <c r="C11">
        <v>1</v>
      </c>
      <c r="D11">
        <v>140</v>
      </c>
      <c r="E11">
        <f>C11*D11</f>
        <v>140</v>
      </c>
      <c r="F11" t="str">
        <f>IF(C11*D11&gt;200,"Yes","No")</f>
        <v>No</v>
      </c>
      <c r="G11" t="s">
        <v>16</v>
      </c>
      <c r="H11" t="s">
        <v>17</v>
      </c>
    </row>
    <row r="12" spans="1:8" x14ac:dyDescent="0.3">
      <c r="A12" t="s">
        <v>26</v>
      </c>
      <c r="B12" t="s">
        <v>27</v>
      </c>
      <c r="C12">
        <v>80</v>
      </c>
      <c r="D12">
        <v>1.75</v>
      </c>
      <c r="E12">
        <f>C12*D12</f>
        <v>140</v>
      </c>
      <c r="F12" t="str">
        <f>IF(C12*D12&gt;200,"Yes","No")</f>
        <v>No</v>
      </c>
      <c r="G12" t="s">
        <v>16</v>
      </c>
      <c r="H12" t="s">
        <v>17</v>
      </c>
    </row>
    <row r="13" spans="1:8" x14ac:dyDescent="0.3">
      <c r="A13" t="s">
        <v>28</v>
      </c>
      <c r="B13" t="s">
        <v>29</v>
      </c>
      <c r="C13">
        <v>1</v>
      </c>
      <c r="D13">
        <v>350</v>
      </c>
      <c r="E13">
        <f>C13*D13</f>
        <v>350</v>
      </c>
      <c r="F13" t="str">
        <f>IF(C13*D13&gt;200,"Yes","No")</f>
        <v>Yes</v>
      </c>
      <c r="G13" t="s">
        <v>12</v>
      </c>
      <c r="H13" t="s">
        <v>13</v>
      </c>
    </row>
    <row r="14" spans="1:8" x14ac:dyDescent="0.3">
      <c r="A14" t="s">
        <v>30</v>
      </c>
      <c r="B14" t="s">
        <v>31</v>
      </c>
      <c r="C14">
        <v>12</v>
      </c>
      <c r="D14">
        <v>8.99</v>
      </c>
      <c r="E14">
        <f>C14*D14</f>
        <v>107.88</v>
      </c>
      <c r="F14" t="str">
        <f>IF(C14*D14&gt;200,"Yes","No")</f>
        <v>No</v>
      </c>
      <c r="G14" t="s">
        <v>16</v>
      </c>
      <c r="H14" t="s">
        <v>17</v>
      </c>
    </row>
    <row r="15" spans="1:8" x14ac:dyDescent="0.3">
      <c r="A15" t="s">
        <v>32</v>
      </c>
      <c r="B15" t="s">
        <v>33</v>
      </c>
      <c r="C15">
        <v>200</v>
      </c>
      <c r="D15">
        <v>0.35</v>
      </c>
      <c r="E15">
        <f>C15*D15</f>
        <v>70</v>
      </c>
      <c r="F15" t="str">
        <f>IF(C15*D15&gt;200,"Yes","No")</f>
        <v>No</v>
      </c>
      <c r="G15" t="s">
        <v>16</v>
      </c>
      <c r="H15" t="s">
        <v>17</v>
      </c>
    </row>
    <row r="16" spans="1:8" x14ac:dyDescent="0.3">
      <c r="A16" t="s">
        <v>34</v>
      </c>
      <c r="B16" t="s">
        <v>15</v>
      </c>
      <c r="C16">
        <v>1</v>
      </c>
      <c r="D16">
        <v>85</v>
      </c>
      <c r="E16">
        <f>C16*D16</f>
        <v>85</v>
      </c>
      <c r="F16" t="str">
        <f>IF(C16*D16&gt;200,"Yes","No")</f>
        <v>No</v>
      </c>
      <c r="G16" t="s">
        <v>16</v>
      </c>
      <c r="H16" t="s">
        <v>17</v>
      </c>
    </row>
    <row r="17" spans="1:8" x14ac:dyDescent="0.3">
      <c r="A17" t="s">
        <v>35</v>
      </c>
      <c r="B17" t="s">
        <v>27</v>
      </c>
      <c r="C17">
        <v>1</v>
      </c>
      <c r="D17">
        <v>175</v>
      </c>
      <c r="E17">
        <f>C17*D17</f>
        <v>175</v>
      </c>
      <c r="F17" t="str">
        <f>IF(C17*D17&gt;200,"Yes","No")</f>
        <v>No</v>
      </c>
      <c r="G17" t="s">
        <v>16</v>
      </c>
      <c r="H17" t="s">
        <v>17</v>
      </c>
    </row>
    <row r="18" spans="1:8" x14ac:dyDescent="0.3">
      <c r="A18" t="s">
        <v>36</v>
      </c>
      <c r="B18" t="s">
        <v>37</v>
      </c>
      <c r="C18">
        <v>1</v>
      </c>
      <c r="D18">
        <v>120</v>
      </c>
      <c r="E18">
        <f>C18*D18</f>
        <v>120</v>
      </c>
      <c r="F18" t="str">
        <f>IF(C18*D18&gt;200,"Yes","No")</f>
        <v>No</v>
      </c>
      <c r="G18" t="s">
        <v>16</v>
      </c>
      <c r="H18" t="s">
        <v>17</v>
      </c>
    </row>
    <row r="19" spans="1:8" x14ac:dyDescent="0.3">
      <c r="A19" s="1" t="s">
        <v>38</v>
      </c>
      <c r="E19">
        <f>SUM(E5:E18)</f>
        <v>2104.88</v>
      </c>
    </row>
    <row r="20" spans="1:8" x14ac:dyDescent="0.3">
      <c r="A20" s="1" t="s">
        <v>39</v>
      </c>
      <c r="E20">
        <f>B2-E19</f>
        <v>495.11999999999989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Ceremony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Fry</dc:creator>
  <cp:lastModifiedBy>Angela Fry</cp:lastModifiedBy>
  <dcterms:created xsi:type="dcterms:W3CDTF">2026-02-18T10:00:00Z</dcterms:created>
  <dcterms:modified xsi:type="dcterms:W3CDTF">2026-02-18T10:00:00Z</dcterms:modified>
</cp:coreProperties>
</file>