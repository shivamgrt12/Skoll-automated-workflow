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u\Desktop\Fried\_staging\gen\"/>
    </mc:Choice>
  </mc:AlternateContent>
  <xr:revisionPtr revIDLastSave="0" documentId="8_{D3824826-36CF-4E2E-B022-1C8CE74D4A93}" xr6:coauthVersionLast="47" xr6:coauthVersionMax="47" xr10:uidLastSave="{00000000-0000-0000-0000-000000000000}"/>
  <bookViews>
    <workbookView xWindow="-108" yWindow="-108" windowWidth="23256" windowHeight="12576" xr2:uid="{2FB02070-D4E0-4F1B-ADCC-2CDD9E0AEBF5}"/>
  </bookViews>
  <sheets>
    <sheet name="BreakEv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B16" i="1"/>
  <c r="C14" i="1"/>
  <c r="B14" i="1"/>
  <c r="C13" i="1"/>
  <c r="B13" i="1"/>
</calcChain>
</file>

<file path=xl/sharedStrings.xml><?xml version="1.0" encoding="utf-8"?>
<sst xmlns="http://schemas.openxmlformats.org/spreadsheetml/2006/main" count="18" uniqueCount="18">
  <si>
    <t>Roots Martial Arts Academy - Break-even Model</t>
  </si>
  <si>
    <t>Membership price (USD per month)</t>
  </si>
  <si>
    <t>Cost item</t>
  </si>
  <si>
    <t>Current rent</t>
  </si>
  <si>
    <t>Proposed rent</t>
  </si>
  <si>
    <t>Studio lease</t>
  </si>
  <si>
    <t>Insurance</t>
  </si>
  <si>
    <t>Instructor payroll (Tomas)</t>
  </si>
  <si>
    <t>Utilities</t>
  </si>
  <si>
    <t>Equipment and supplies</t>
  </si>
  <si>
    <t>Owner stipend (Angela)</t>
  </si>
  <si>
    <t>Belt ceremony reserve</t>
  </si>
  <si>
    <t>Marketing, software, fees</t>
  </si>
  <si>
    <t>Total monthly cost</t>
  </si>
  <si>
    <t>Break-even members</t>
  </si>
  <si>
    <t>Current active members</t>
  </si>
  <si>
    <t>Members above or below break-even</t>
  </si>
  <si>
    <t>Note: operating cash net excludes owner stipend and reserves. The proposed lease renewal raises the headcount needed to cover Angela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</si>
</sst>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7B82-6DF3-413E-A74F-91D53742403C}">
  <dimension ref="A1:C18"/>
  <sheetViews>
    <sheetView tabSelected="1" workbookViewId="0"/>
  </sheetViews>
  <sheetFormatPr defaultRowHeight="14.4" x14ac:dyDescent="0.3"/>
  <cols>
    <col min="1" max="1" width="34.77734375" customWidth="1"/>
    <col min="2" max="3" width="14.77734375" customWidth="1"/>
  </cols>
  <sheetData>
    <row r="1" spans="1:3" x14ac:dyDescent="0.3">
      <c r="A1" s="1" t="s">
        <v>0</v>
      </c>
    </row>
    <row r="2" spans="1:3" x14ac:dyDescent="0.3">
      <c r="A2" t="s">
        <v>1</v>
      </c>
      <c r="B2">
        <v>85</v>
      </c>
    </row>
    <row r="4" spans="1:3" x14ac:dyDescent="0.3">
      <c r="A4" s="1" t="s">
        <v>2</v>
      </c>
      <c r="B4" s="1" t="s">
        <v>3</v>
      </c>
      <c r="C4" s="1" t="s">
        <v>4</v>
      </c>
    </row>
    <row r="5" spans="1:3" x14ac:dyDescent="0.3">
      <c r="A5" t="s">
        <v>5</v>
      </c>
      <c r="B5">
        <v>1400</v>
      </c>
      <c r="C5">
        <v>1650</v>
      </c>
    </row>
    <row r="6" spans="1:3" x14ac:dyDescent="0.3">
      <c r="A6" t="s">
        <v>6</v>
      </c>
      <c r="B6">
        <v>180</v>
      </c>
      <c r="C6">
        <v>180</v>
      </c>
    </row>
    <row r="7" spans="1:3" x14ac:dyDescent="0.3">
      <c r="A7" t="s">
        <v>7</v>
      </c>
      <c r="B7">
        <v>850</v>
      </c>
      <c r="C7">
        <v>850</v>
      </c>
    </row>
    <row r="8" spans="1:3" x14ac:dyDescent="0.3">
      <c r="A8" t="s">
        <v>8</v>
      </c>
      <c r="B8">
        <v>140</v>
      </c>
      <c r="C8">
        <v>140</v>
      </c>
    </row>
    <row r="9" spans="1:3" x14ac:dyDescent="0.3">
      <c r="A9" t="s">
        <v>9</v>
      </c>
      <c r="B9">
        <v>200</v>
      </c>
      <c r="C9">
        <v>200</v>
      </c>
    </row>
    <row r="10" spans="1:3" x14ac:dyDescent="0.3">
      <c r="A10" t="s">
        <v>10</v>
      </c>
      <c r="B10">
        <v>1100</v>
      </c>
      <c r="C10">
        <v>1100</v>
      </c>
    </row>
    <row r="11" spans="1:3" x14ac:dyDescent="0.3">
      <c r="A11" t="s">
        <v>11</v>
      </c>
      <c r="B11">
        <v>150</v>
      </c>
      <c r="C11">
        <v>150</v>
      </c>
    </row>
    <row r="12" spans="1:3" x14ac:dyDescent="0.3">
      <c r="A12" t="s">
        <v>12</v>
      </c>
      <c r="B12">
        <v>150</v>
      </c>
      <c r="C12">
        <v>150</v>
      </c>
    </row>
    <row r="13" spans="1:3" x14ac:dyDescent="0.3">
      <c r="A13" s="1" t="s">
        <v>13</v>
      </c>
      <c r="B13">
        <f>SUM(B5:B12)</f>
        <v>4170</v>
      </c>
      <c r="C13">
        <f>SUM(C5:C12)</f>
        <v>4420</v>
      </c>
    </row>
    <row r="14" spans="1:3" x14ac:dyDescent="0.3">
      <c r="A14" s="1" t="s">
        <v>14</v>
      </c>
      <c r="B14">
        <f>ROUNDUP(B13/$B$2,0)</f>
        <v>50</v>
      </c>
      <c r="C14">
        <f>ROUNDUP(C13/$B$2,0)</f>
        <v>52</v>
      </c>
    </row>
    <row r="15" spans="1:3" x14ac:dyDescent="0.3">
      <c r="A15" t="s">
        <v>15</v>
      </c>
      <c r="B15">
        <v>44</v>
      </c>
      <c r="C15">
        <v>44</v>
      </c>
    </row>
    <row r="16" spans="1:3" x14ac:dyDescent="0.3">
      <c r="A16" t="s">
        <v>16</v>
      </c>
      <c r="B16">
        <f>B15-B14</f>
        <v>-6</v>
      </c>
      <c r="C16">
        <f>C15-C14</f>
        <v>-8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Fry</dc:creator>
  <cp:lastModifiedBy>Angela Fry</cp:lastModifiedBy>
  <dcterms:created xsi:type="dcterms:W3CDTF">2026-02-18T10:00:00Z</dcterms:created>
  <dcterms:modified xsi:type="dcterms:W3CDTF">2026-02-18T10:00:00Z</dcterms:modified>
</cp:coreProperties>
</file>