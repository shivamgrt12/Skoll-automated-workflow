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su\Desktop\Fried\_staging\gen\"/>
    </mc:Choice>
  </mc:AlternateContent>
  <xr:revisionPtr revIDLastSave="0" documentId="8_{43F3B64B-2419-46F3-9F1F-5D3E632CB7D3}" xr6:coauthVersionLast="47" xr6:coauthVersionMax="47" xr10:uidLastSave="{00000000-0000-0000-0000-000000000000}"/>
  <bookViews>
    <workbookView xWindow="-108" yWindow="-108" windowWidth="23256" windowHeight="12576" xr2:uid="{9EF55AF0-3DB9-46EE-A71F-94CC362971FA}"/>
  </bookViews>
  <sheets>
    <sheet name="Budget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8" i="1" l="1"/>
  <c r="C28" i="1"/>
  <c r="B28" i="1"/>
  <c r="E27" i="1"/>
  <c r="D27" i="1"/>
  <c r="C27" i="1"/>
  <c r="B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D7" i="1"/>
  <c r="C7" i="1"/>
  <c r="B7" i="1"/>
</calcChain>
</file>

<file path=xl/sharedStrings.xml><?xml version="1.0" encoding="utf-8"?>
<sst xmlns="http://schemas.openxmlformats.org/spreadsheetml/2006/main" count="31" uniqueCount="31">
  <si>
    <t>Fry Household Budget 2026</t>
  </si>
  <si>
    <t>Category</t>
  </si>
  <si>
    <t>Jan_Actual</t>
  </si>
  <si>
    <t>Feb_Actual</t>
  </si>
  <si>
    <t>Monthly_Plan</t>
  </si>
  <si>
    <t>Annual_Plan</t>
  </si>
  <si>
    <t>INCOME</t>
  </si>
  <si>
    <t>Angela take-home</t>
  </si>
  <si>
    <t>Sofia take-home</t>
  </si>
  <si>
    <t>Roots owner draw</t>
  </si>
  <si>
    <t>Total income</t>
  </si>
  <si>
    <t>EXPENSES</t>
  </si>
  <si>
    <t>Mortgage</t>
  </si>
  <si>
    <t>Studio lease</t>
  </si>
  <si>
    <t>Studio insurance</t>
  </si>
  <si>
    <t>Auto loan</t>
  </si>
  <si>
    <t>Electric (SMUD)</t>
  </si>
  <si>
    <t>Phone and internet</t>
  </si>
  <si>
    <t>Groceries</t>
  </si>
  <si>
    <t>Dining out</t>
  </si>
  <si>
    <t>Prescriptions (Tereza)</t>
  </si>
  <si>
    <t>Medical copays</t>
  </si>
  <si>
    <t>Cycling</t>
  </si>
  <si>
    <t>Club soccer</t>
  </si>
  <si>
    <t>Art classes</t>
  </si>
  <si>
    <t>Student loan</t>
  </si>
  <si>
    <t>Household misc</t>
  </si>
  <si>
    <t>Savings transfer</t>
  </si>
  <si>
    <t>Accounting (CPA per month)</t>
  </si>
  <si>
    <t>Total expenses</t>
  </si>
  <si>
    <t>Net surplus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</si>
</sst>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E97CA-B1B6-46E1-800F-2B030E6199F4}">
  <dimension ref="A1:E28"/>
  <sheetViews>
    <sheetView tabSelected="1" workbookViewId="0"/>
  </sheetViews>
  <sheetFormatPr defaultRowHeight="14.4" x14ac:dyDescent="0.3"/>
  <cols>
    <col min="1" max="1" width="26.77734375" customWidth="1"/>
    <col min="2" max="5" width="13.77734375" customWidth="1"/>
  </cols>
  <sheetData>
    <row r="1" spans="1:5" x14ac:dyDescent="0.3">
      <c r="A1" s="1" t="s">
        <v>0</v>
      </c>
    </row>
    <row r="2" spans="1: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">
      <c r="A3" s="1" t="s">
        <v>6</v>
      </c>
    </row>
    <row r="4" spans="1:5" x14ac:dyDescent="0.3">
      <c r="A4" t="s">
        <v>7</v>
      </c>
      <c r="B4">
        <v>5200</v>
      </c>
      <c r="C4">
        <v>5200</v>
      </c>
      <c r="D4">
        <v>5200</v>
      </c>
    </row>
    <row r="5" spans="1:5" x14ac:dyDescent="0.3">
      <c r="A5" t="s">
        <v>8</v>
      </c>
      <c r="B5">
        <v>3300</v>
      </c>
      <c r="C5">
        <v>3300</v>
      </c>
      <c r="D5">
        <v>3300</v>
      </c>
    </row>
    <row r="6" spans="1:5" x14ac:dyDescent="0.3">
      <c r="A6" t="s">
        <v>9</v>
      </c>
      <c r="B6">
        <v>1100</v>
      </c>
      <c r="C6">
        <v>1100</v>
      </c>
      <c r="D6">
        <v>1100</v>
      </c>
    </row>
    <row r="7" spans="1:5" x14ac:dyDescent="0.3">
      <c r="A7" s="1" t="s">
        <v>10</v>
      </c>
      <c r="B7">
        <f>SUM(B4:B6)</f>
        <v>9600</v>
      </c>
      <c r="C7">
        <f>SUM(C4:C6)</f>
        <v>9600</v>
      </c>
      <c r="D7">
        <f>SUM(D4:D6)</f>
        <v>9600</v>
      </c>
    </row>
    <row r="9" spans="1:5" x14ac:dyDescent="0.3">
      <c r="A9" s="1" t="s">
        <v>11</v>
      </c>
    </row>
    <row r="10" spans="1:5" x14ac:dyDescent="0.3">
      <c r="A10" t="s">
        <v>12</v>
      </c>
      <c r="B10">
        <v>2250</v>
      </c>
      <c r="C10">
        <v>2250</v>
      </c>
      <c r="D10">
        <v>2250</v>
      </c>
      <c r="E10">
        <f>D10*12</f>
        <v>27000</v>
      </c>
    </row>
    <row r="11" spans="1:5" x14ac:dyDescent="0.3">
      <c r="A11" t="s">
        <v>13</v>
      </c>
      <c r="B11">
        <v>1400</v>
      </c>
      <c r="C11">
        <v>1400</v>
      </c>
      <c r="D11">
        <v>1400</v>
      </c>
      <c r="E11">
        <f>D11*12</f>
        <v>16800</v>
      </c>
    </row>
    <row r="12" spans="1:5" x14ac:dyDescent="0.3">
      <c r="A12" t="s">
        <v>14</v>
      </c>
      <c r="B12">
        <v>180</v>
      </c>
      <c r="C12">
        <v>180</v>
      </c>
      <c r="D12">
        <v>180</v>
      </c>
      <c r="E12">
        <f>D12*12</f>
        <v>2160</v>
      </c>
    </row>
    <row r="13" spans="1:5" x14ac:dyDescent="0.3">
      <c r="A13" t="s">
        <v>15</v>
      </c>
      <c r="B13">
        <v>380</v>
      </c>
      <c r="C13">
        <v>380</v>
      </c>
      <c r="D13">
        <v>380</v>
      </c>
      <c r="E13">
        <f>D13*12</f>
        <v>4560</v>
      </c>
    </row>
    <row r="14" spans="1:5" x14ac:dyDescent="0.3">
      <c r="A14" t="s">
        <v>16</v>
      </c>
      <c r="B14">
        <v>178</v>
      </c>
      <c r="C14">
        <v>171</v>
      </c>
      <c r="D14">
        <v>165</v>
      </c>
      <c r="E14">
        <f>D14*12</f>
        <v>1980</v>
      </c>
    </row>
    <row r="15" spans="1:5" x14ac:dyDescent="0.3">
      <c r="A15" t="s">
        <v>17</v>
      </c>
      <c r="B15">
        <v>190</v>
      </c>
      <c r="C15">
        <v>190</v>
      </c>
      <c r="D15">
        <v>190</v>
      </c>
      <c r="E15">
        <f>D15*12</f>
        <v>2280</v>
      </c>
    </row>
    <row r="16" spans="1:5" x14ac:dyDescent="0.3">
      <c r="A16" t="s">
        <v>18</v>
      </c>
      <c r="B16">
        <v>845</v>
      </c>
      <c r="C16">
        <v>792</v>
      </c>
      <c r="D16">
        <v>800</v>
      </c>
      <c r="E16">
        <f>D16*12</f>
        <v>9600</v>
      </c>
    </row>
    <row r="17" spans="1:5" x14ac:dyDescent="0.3">
      <c r="A17" t="s">
        <v>19</v>
      </c>
      <c r="B17">
        <v>322</v>
      </c>
      <c r="C17">
        <v>268</v>
      </c>
      <c r="D17">
        <v>300</v>
      </c>
      <c r="E17">
        <f>D17*12</f>
        <v>3600</v>
      </c>
    </row>
    <row r="18" spans="1:5" x14ac:dyDescent="0.3">
      <c r="A18" t="s">
        <v>20</v>
      </c>
      <c r="B18">
        <v>180</v>
      </c>
      <c r="C18">
        <v>180</v>
      </c>
      <c r="D18">
        <v>180</v>
      </c>
      <c r="E18">
        <f>D18*12</f>
        <v>2160</v>
      </c>
    </row>
    <row r="19" spans="1:5" x14ac:dyDescent="0.3">
      <c r="A19" t="s">
        <v>21</v>
      </c>
      <c r="B19">
        <v>350</v>
      </c>
      <c r="C19">
        <v>280</v>
      </c>
      <c r="D19">
        <v>350</v>
      </c>
      <c r="E19">
        <f>D19*12</f>
        <v>4200</v>
      </c>
    </row>
    <row r="20" spans="1:5" x14ac:dyDescent="0.3">
      <c r="A20" t="s">
        <v>22</v>
      </c>
      <c r="B20">
        <v>138</v>
      </c>
      <c r="C20">
        <v>156</v>
      </c>
      <c r="D20">
        <v>150</v>
      </c>
      <c r="E20">
        <f>D20*12</f>
        <v>1800</v>
      </c>
    </row>
    <row r="21" spans="1:5" x14ac:dyDescent="0.3">
      <c r="A21" t="s">
        <v>23</v>
      </c>
      <c r="B21">
        <v>200</v>
      </c>
      <c r="C21">
        <v>200</v>
      </c>
      <c r="D21">
        <v>200</v>
      </c>
      <c r="E21">
        <f>D21*12</f>
        <v>2400</v>
      </c>
    </row>
    <row r="22" spans="1:5" x14ac:dyDescent="0.3">
      <c r="A22" t="s">
        <v>24</v>
      </c>
      <c r="B22">
        <v>50</v>
      </c>
      <c r="C22">
        <v>50</v>
      </c>
      <c r="D22">
        <v>50</v>
      </c>
      <c r="E22">
        <f>D22*12</f>
        <v>600</v>
      </c>
    </row>
    <row r="23" spans="1:5" x14ac:dyDescent="0.3">
      <c r="A23" t="s">
        <v>25</v>
      </c>
      <c r="B23">
        <v>290</v>
      </c>
      <c r="C23">
        <v>290</v>
      </c>
      <c r="D23">
        <v>290</v>
      </c>
      <c r="E23">
        <f>D23*12</f>
        <v>3480</v>
      </c>
    </row>
    <row r="24" spans="1:5" x14ac:dyDescent="0.3">
      <c r="A24" t="s">
        <v>26</v>
      </c>
      <c r="B24">
        <v>270</v>
      </c>
      <c r="C24">
        <v>240</v>
      </c>
      <c r="D24">
        <v>250</v>
      </c>
      <c r="E24">
        <f>D24*12</f>
        <v>3000</v>
      </c>
    </row>
    <row r="25" spans="1:5" x14ac:dyDescent="0.3">
      <c r="A25" t="s">
        <v>27</v>
      </c>
      <c r="B25">
        <v>600</v>
      </c>
      <c r="C25">
        <v>600</v>
      </c>
      <c r="D25">
        <v>600</v>
      </c>
      <c r="E25">
        <f>D25*12</f>
        <v>7200</v>
      </c>
    </row>
    <row r="26" spans="1:5" x14ac:dyDescent="0.3">
      <c r="A26" t="s">
        <v>28</v>
      </c>
      <c r="B26">
        <v>54</v>
      </c>
      <c r="C26">
        <v>54</v>
      </c>
      <c r="D26">
        <v>54</v>
      </c>
      <c r="E26">
        <f>D26*12</f>
        <v>648</v>
      </c>
    </row>
    <row r="27" spans="1:5" x14ac:dyDescent="0.3">
      <c r="A27" s="1" t="s">
        <v>29</v>
      </c>
      <c r="B27">
        <f>SUM(B10:B26)</f>
        <v>7877</v>
      </c>
      <c r="C27">
        <f>SUM(C10:C26)</f>
        <v>7681</v>
      </c>
      <c r="D27">
        <f>SUM(D10:D26)</f>
        <v>7789</v>
      </c>
      <c r="E27">
        <f>SUM(E10:E26)</f>
        <v>93468</v>
      </c>
    </row>
    <row r="28" spans="1:5" x14ac:dyDescent="0.3">
      <c r="A28" s="1" t="s">
        <v>30</v>
      </c>
      <c r="B28">
        <f>B7-B27</f>
        <v>1723</v>
      </c>
      <c r="C28">
        <f>C7-C27</f>
        <v>1919</v>
      </c>
      <c r="D28">
        <f>D7-D27</f>
        <v>1811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Fry</dc:creator>
  <cp:lastModifiedBy>Angela Fry</cp:lastModifiedBy>
  <dcterms:created xsi:type="dcterms:W3CDTF">2026-02-18T10:00:00Z</dcterms:created>
  <dcterms:modified xsi:type="dcterms:W3CDTF">2026-02-18T10:00:00Z</dcterms:modified>
</cp:coreProperties>
</file>