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2" customWidth="1" min="4" max="4"/>
    <col width="14" customWidth="1" min="5" max="5"/>
    <col width="9" customWidth="1" min="6" max="6"/>
  </cols>
  <sheetData>
    <row r="1">
      <c r="A1" s="1" t="inlineStr">
        <is>
          <t>Brokerage Account Summary</t>
        </is>
      </c>
    </row>
    <row r="2">
      <c r="A2" t="inlineStr">
        <is>
          <t>Account holder: Juan Carlos Hernandez    Account: Z40-318872</t>
        </is>
      </c>
    </row>
    <row r="3">
      <c r="A3" t="inlineStr">
        <is>
          <t>As of February 28, 2026. Individual taxable account, custodian Fidelity Investments.</t>
        </is>
      </c>
    </row>
    <row r="5">
      <c r="A5" s="2" t="inlineStr">
        <is>
          <t>Symbol</t>
        </is>
      </c>
      <c r="B5" s="2" t="inlineStr">
        <is>
          <t>Description</t>
        </is>
      </c>
      <c r="C5" s="2" t="inlineStr">
        <is>
          <t>Quantity</t>
        </is>
      </c>
      <c r="D5" s="2" t="inlineStr">
        <is>
          <t>Price</t>
        </is>
      </c>
      <c r="E5" s="2" t="inlineStr">
        <is>
          <t>Market value</t>
        </is>
      </c>
      <c r="F5" s="2" t="inlineStr">
        <is>
          <t>Percent</t>
        </is>
      </c>
    </row>
    <row r="6">
      <c r="A6" s="3" t="inlineStr">
        <is>
          <t>VTI</t>
        </is>
      </c>
      <c r="B6" s="3" t="inlineStr">
        <is>
          <t>Total stock market index ETF</t>
        </is>
      </c>
      <c r="C6" s="3" t="n">
        <v>120</v>
      </c>
      <c r="D6" s="4" t="n">
        <v>258.3</v>
      </c>
      <c r="E6" s="5">
        <f>C6*D6</f>
        <v/>
      </c>
      <c r="F6" s="6">
        <f>E6/$E$10</f>
        <v/>
      </c>
    </row>
    <row r="7">
      <c r="A7" s="3" t="inlineStr">
        <is>
          <t>BND</t>
        </is>
      </c>
      <c r="B7" s="3" t="inlineStr">
        <is>
          <t>Total bond market index ETF</t>
        </is>
      </c>
      <c r="C7" s="3" t="n">
        <v>200</v>
      </c>
      <c r="D7" s="4" t="n">
        <v>72.5</v>
      </c>
      <c r="E7" s="5">
        <f>C7*D7</f>
        <v/>
      </c>
      <c r="F7" s="6">
        <f>E7/$E$10</f>
        <v/>
      </c>
    </row>
    <row r="8">
      <c r="A8" s="3" t="inlineStr">
        <is>
          <t>AAPL</t>
        </is>
      </c>
      <c r="B8" s="3" t="inlineStr">
        <is>
          <t>Common stock, technology</t>
        </is>
      </c>
      <c r="C8" s="3" t="n">
        <v>40</v>
      </c>
      <c r="D8" s="4" t="n">
        <v>197.6</v>
      </c>
      <c r="E8" s="5">
        <f>C8*D8</f>
        <v/>
      </c>
      <c r="F8" s="6">
        <f>E8/$E$10</f>
        <v/>
      </c>
    </row>
    <row r="9">
      <c r="A9" s="3" t="inlineStr">
        <is>
          <t>SPAXX</t>
        </is>
      </c>
      <c r="B9" s="3" t="inlineStr">
        <is>
          <t>Government money market</t>
        </is>
      </c>
      <c r="C9" s="3" t="n">
        <v>11600</v>
      </c>
      <c r="D9" s="4" t="n">
        <v>1</v>
      </c>
      <c r="E9" s="5">
        <f>C9*D9</f>
        <v/>
      </c>
      <c r="F9" s="6">
        <f>E9/$E$10</f>
        <v/>
      </c>
    </row>
    <row r="10">
      <c r="A10" s="7" t="inlineStr">
        <is>
          <t>Total account value</t>
        </is>
      </c>
      <c r="E10" s="8">
        <f>SUM(E6:E9)</f>
        <v/>
      </c>
      <c r="F10" s="9">
        <f>SUM(F6:F9)</f>
        <v/>
      </c>
    </row>
    <row r="12">
      <c r="A12" t="inlineStr">
        <is>
          <t>Dividends paid this period: $182.40, reinvested. Cost basis tracked separately for tax.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2026-06-30T11:17:48Z</dcterms:created>
  <dcterms:modified xmlns:dcterms="http://purl.org/dc/terms/" xmlns:xsi="http://www.w3.org/2001/XMLSchema-instance" xsi:type="dcterms:W3CDTF">2026-06-30T11:17:48Z</dcterms:modified>
</cp:coreProperties>
</file>