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>
    <definedName name="_xlnm._FilterDatabase" localSheetId="0" hidden="1">'Cash Flow'!$A$3:$F$10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9E1B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Hayes Auto Works - Monthly Cash Flow</t>
        </is>
      </c>
    </row>
    <row r="3">
      <c r="A3" s="4" t="inlineStr">
        <is>
          <t>Month</t>
        </is>
      </c>
      <c r="B3" s="4" t="inlineStr">
        <is>
          <t>Revenue</t>
        </is>
      </c>
      <c r="C3" s="4" t="inlineStr">
        <is>
          <t>Parts COGS</t>
        </is>
      </c>
      <c r="D3" s="4" t="inlineStr">
        <is>
          <t>Payroll</t>
        </is>
      </c>
      <c r="E3" s="4" t="inlineStr">
        <is>
          <t>Other Opex</t>
        </is>
      </c>
      <c r="F3" s="4" t="inlineStr">
        <is>
          <t>Net Owner</t>
        </is>
      </c>
    </row>
    <row r="4">
      <c r="A4" t="inlineStr">
        <is>
          <t>2025-09</t>
        </is>
      </c>
      <c r="B4" t="n">
        <v>27400</v>
      </c>
      <c r="C4" t="n">
        <v>11100</v>
      </c>
      <c r="D4" t="n">
        <v>6000</v>
      </c>
      <c r="E4" t="n">
        <v>4300</v>
      </c>
      <c r="F4" t="n">
        <v>6000</v>
      </c>
    </row>
    <row r="5">
      <c r="A5" t="inlineStr">
        <is>
          <t>2025-10</t>
        </is>
      </c>
      <c r="B5" t="n">
        <v>28900</v>
      </c>
      <c r="C5" t="n">
        <v>11600</v>
      </c>
      <c r="D5" t="n">
        <v>6000</v>
      </c>
      <c r="E5" t="n">
        <v>4400</v>
      </c>
      <c r="F5" t="n">
        <v>6900</v>
      </c>
    </row>
    <row r="6">
      <c r="A6" t="inlineStr">
        <is>
          <t>2025-11</t>
        </is>
      </c>
      <c r="B6" t="n">
        <v>26700</v>
      </c>
      <c r="C6" t="n">
        <v>10800</v>
      </c>
      <c r="D6" t="n">
        <v>6000</v>
      </c>
      <c r="E6" t="n">
        <v>4200</v>
      </c>
      <c r="F6" t="n">
        <v>5700</v>
      </c>
    </row>
    <row r="7">
      <c r="A7" t="inlineStr">
        <is>
          <t>2025-12</t>
        </is>
      </c>
      <c r="B7" t="n">
        <v>24800</v>
      </c>
      <c r="C7" t="n">
        <v>10100</v>
      </c>
      <c r="D7" t="n">
        <v>6000</v>
      </c>
      <c r="E7" t="n">
        <v>4100</v>
      </c>
      <c r="F7" t="n">
        <v>4600</v>
      </c>
    </row>
    <row r="8">
      <c r="A8" t="inlineStr">
        <is>
          <t>2026-01</t>
        </is>
      </c>
      <c r="B8" t="n">
        <v>26900</v>
      </c>
      <c r="C8" t="n">
        <v>10900</v>
      </c>
      <c r="D8" t="n">
        <v>6000</v>
      </c>
      <c r="E8" t="n">
        <v>4300</v>
      </c>
      <c r="F8" t="n">
        <v>5700</v>
      </c>
    </row>
    <row r="9">
      <c r="A9" t="inlineStr">
        <is>
          <t>2026-02</t>
        </is>
      </c>
      <c r="B9" t="n">
        <v>27300</v>
      </c>
      <c r="C9" t="n">
        <v>11000</v>
      </c>
      <c r="D9" t="n">
        <v>6000</v>
      </c>
      <c r="E9" t="n">
        <v>4300</v>
      </c>
      <c r="F9" t="n">
        <v>6000</v>
      </c>
    </row>
    <row r="10">
      <c r="A10" s="3" t="inlineStr">
        <is>
          <t>Average</t>
        </is>
      </c>
      <c r="B10" s="3">
        <f>ROUND(AVERAGE(B4:B9),0)</f>
        <v/>
      </c>
      <c r="C10" s="3">
        <f>ROUND(AVERAGE(C4:C9),0)</f>
        <v/>
      </c>
      <c r="D10" s="3">
        <f>ROUND(AVERAGE(D4:D9),0)</f>
        <v/>
      </c>
      <c r="E10" s="3">
        <f>ROUND(AVERAGE(E4:E9),0)</f>
        <v/>
      </c>
      <c r="F10" s="3">
        <f>ROUND(AVERAGE(F4:F9),0)</f>
        <v/>
      </c>
    </row>
  </sheetData>
  <autoFilter ref="A3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Hayes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</cp:coreProperties>
</file>