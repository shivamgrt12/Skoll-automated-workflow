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Income" sheetId="2" state="visible" r:id="rId2"/>
    <sheet xmlns:r="http://schemas.openxmlformats.org/officeDocument/2006/relationships" name="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4A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42" customWidth="1" min="4" max="4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Amount (USD)</t>
        </is>
      </c>
      <c r="D1" s="1" t="inlineStr">
        <is>
          <t>Notes</t>
        </is>
      </c>
    </row>
    <row r="2">
      <c r="A2" t="inlineStr">
        <is>
          <t>Steel works pension</t>
        </is>
      </c>
      <c r="B2" t="inlineStr">
        <is>
          <t>Income</t>
        </is>
      </c>
      <c r="C2" t="n">
        <v>3200</v>
      </c>
      <c r="D2" t="inlineStr">
        <is>
          <t>32 years vested</t>
        </is>
      </c>
    </row>
    <row r="3">
      <c r="A3" t="inlineStr">
        <is>
          <t>Academy training salary</t>
        </is>
      </c>
      <c r="B3" t="inlineStr">
        <is>
          <t>Income</t>
        </is>
      </c>
      <c r="C3" t="n">
        <v>3500</v>
      </c>
      <c r="D3" t="inlineStr">
        <is>
          <t>42,000 per year, part-time</t>
        </is>
      </c>
    </row>
    <row r="4">
      <c r="A4" t="inlineStr">
        <is>
          <t>Groceries</t>
        </is>
      </c>
      <c r="B4" t="inlineStr">
        <is>
          <t>Expense</t>
        </is>
      </c>
      <c r="C4" t="n">
        <v>350</v>
      </c>
      <c r="D4" t="inlineStr">
        <is>
          <t>Local grocery</t>
        </is>
      </c>
    </row>
    <row r="5">
      <c r="A5" t="inlineStr">
        <is>
          <t>Woodworking supplies</t>
        </is>
      </c>
      <c r="B5" t="inlineStr">
        <is>
          <t>Expense</t>
        </is>
      </c>
      <c r="C5" t="n">
        <v>100</v>
      </c>
      <c r="D5" t="inlineStr">
        <is>
          <t>Range 80 to 120</t>
        </is>
      </c>
    </row>
    <row r="6">
      <c r="A6" t="inlineStr">
        <is>
          <t>Bowling league dues</t>
        </is>
      </c>
      <c r="B6" t="inlineStr">
        <is>
          <t>Expense</t>
        </is>
      </c>
      <c r="C6" t="n">
        <v>40</v>
      </c>
      <c r="D6" t="inlineStr">
        <is>
          <t>Mon Valley Rollers</t>
        </is>
      </c>
    </row>
    <row r="7">
      <c r="A7" t="inlineStr">
        <is>
          <t>Mother assisted-living share</t>
        </is>
      </c>
      <c r="B7" t="inlineStr">
        <is>
          <t>Expense</t>
        </is>
      </c>
      <c r="C7" t="n">
        <v>900</v>
      </c>
      <c r="D7" t="inlineStr">
        <is>
          <t>Half of 1,800 split with Rose</t>
        </is>
      </c>
    </row>
    <row r="8">
      <c r="A8" t="inlineStr">
        <is>
          <t>Steelers tickets share</t>
        </is>
      </c>
      <c r="B8" t="inlineStr">
        <is>
          <t>Expense</t>
        </is>
      </c>
      <c r="C8" t="n">
        <v>100</v>
      </c>
      <c r="D8" t="inlineStr">
        <is>
          <t>1,200 per year, half of 2,400 with Donnie</t>
        </is>
      </c>
    </row>
    <row r="9">
      <c r="A9" s="2" t="inlineStr">
        <is>
          <t>Total income</t>
        </is>
      </c>
      <c r="B9" t="inlineStr"/>
      <c r="C9" s="2">
        <f>SUMIF(B2:B8,"Income",C2:C8)</f>
        <v/>
      </c>
      <c r="D9" t="inlineStr">
        <is>
          <t>Monthly gross</t>
        </is>
      </c>
    </row>
    <row r="10">
      <c r="A10" s="2" t="inlineStr">
        <is>
          <t>Total expense</t>
        </is>
      </c>
      <c r="B10" t="inlineStr"/>
      <c r="C10" s="2">
        <f>SUMIF(B2:B8,"Expense",C2:C8)</f>
        <v/>
      </c>
      <c r="D10" t="inlineStr">
        <is>
          <t>Monthly outlay</t>
        </is>
      </c>
    </row>
    <row r="11">
      <c r="A11" s="2" t="inlineStr">
        <is>
          <t>Net monthly</t>
        </is>
      </c>
      <c r="B11" t="inlineStr"/>
      <c r="C11" s="2">
        <f>C9-C10</f>
        <v/>
      </c>
      <c r="D11" t="inlineStr">
        <is>
          <t>Income minus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6" customWidth="1" min="4" max="4"/>
  </cols>
  <sheetData>
    <row r="1">
      <c r="A1" s="1" t="inlineStr">
        <is>
          <t>Source</t>
        </is>
      </c>
      <c r="B1" s="1" t="inlineStr">
        <is>
          <t>Monthly (USD)</t>
        </is>
      </c>
      <c r="C1" s="1" t="inlineStr">
        <is>
          <t>Annual (USD)</t>
        </is>
      </c>
      <c r="D1" s="1" t="inlineStr">
        <is>
          <t>Basis</t>
        </is>
      </c>
    </row>
    <row r="2">
      <c r="A2" t="inlineStr">
        <is>
          <t>Pension</t>
        </is>
      </c>
      <c r="B2" t="n">
        <v>3200</v>
      </c>
      <c r="C2">
        <f>B2*12</f>
        <v/>
      </c>
      <c r="D2" t="inlineStr">
        <is>
          <t>Allegheny River Steel Works plan</t>
        </is>
      </c>
    </row>
    <row r="3">
      <c r="A3" t="inlineStr">
        <is>
          <t>Academy salary</t>
        </is>
      </c>
      <c r="B3" t="n">
        <v>3500</v>
      </c>
      <c r="C3">
        <f>B3*12</f>
        <v/>
      </c>
      <c r="D3" t="inlineStr">
        <is>
          <t>Part-time teaching</t>
        </is>
      </c>
    </row>
    <row r="4">
      <c r="A4" s="2" t="inlineStr">
        <is>
          <t>Combined</t>
        </is>
      </c>
      <c r="B4" s="2">
        <f>SUM(B2:B3)</f>
        <v/>
      </c>
      <c r="C4" s="2">
        <f>SUM(C2:C3)</f>
        <v/>
      </c>
      <c r="D4" t="inlineStr">
        <is>
          <t>Before Social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 (USD)</t>
        </is>
      </c>
      <c r="D1" s="1" t="inlineStr">
        <is>
          <t>Type</t>
        </is>
      </c>
    </row>
    <row r="2">
      <c r="A2" t="inlineStr">
        <is>
          <t>Checking</t>
        </is>
      </c>
      <c r="B2" t="inlineStr">
        <is>
          <t>Pittsburgh Federal Credit Union</t>
        </is>
      </c>
      <c r="C2" t="n">
        <v>3400</v>
      </c>
      <c r="D2" t="inlineStr">
        <is>
          <t>Liquid</t>
        </is>
      </c>
    </row>
    <row r="3">
      <c r="A3" t="inlineStr">
        <is>
          <t>Savings</t>
        </is>
      </c>
      <c r="B3" t="inlineStr">
        <is>
          <t>Pittsburgh Federal Credit Union</t>
        </is>
      </c>
      <c r="C3" t="n">
        <v>22000</v>
      </c>
      <c r="D3" t="inlineStr">
        <is>
          <t>Liquid</t>
        </is>
      </c>
    </row>
    <row r="4">
      <c r="A4" t="inlineStr">
        <is>
          <t>401k rollover</t>
        </is>
      </c>
      <c r="B4" t="inlineStr">
        <is>
          <t>Retirement plan</t>
        </is>
      </c>
      <c r="C4" t="n">
        <v>70000</v>
      </c>
      <c r="D4" t="inlineStr">
        <is>
          <t>Retirement</t>
        </is>
      </c>
    </row>
    <row r="5">
      <c r="A5" t="inlineStr">
        <is>
          <t>IRA</t>
        </is>
      </c>
      <c r="B5" t="inlineStr">
        <is>
          <t>Index fund account</t>
        </is>
      </c>
      <c r="C5" t="n">
        <v>55000</v>
      </c>
      <c r="D5" t="inlineStr">
        <is>
          <t>Retirement</t>
        </is>
      </c>
    </row>
    <row r="6">
      <c r="A6" s="2" t="inlineStr">
        <is>
          <t>Total</t>
        </is>
      </c>
      <c r="B6" t="inlineStr"/>
      <c r="C6" s="2">
        <f>SUM(C2:C5)</f>
        <v/>
      </c>
      <c r="D6" t="inlineStr">
        <is>
          <t>All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2026-06-27T11:58:53Z</dcterms:created>
  <dcterms:modified xmlns:dcterms="http://purl.org/dc/terms/" xmlns:xsi="http://www.w3.org/2001/XMLSchema-instance" xsi:type="dcterms:W3CDTF">2026-06-27T11:58:53Z</dcterms:modified>
</cp:coreProperties>
</file>