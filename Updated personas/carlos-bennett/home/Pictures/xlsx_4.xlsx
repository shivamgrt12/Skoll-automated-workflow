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Incom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Carlos Bennett, 2025 Business Income Summary</t>
        </is>
      </c>
    </row>
    <row r="2">
      <c r="A2" s="2" t="inlineStr">
        <is>
          <t>For the 2025 federal return. Two sole proprietorships. Prepared January 2026. Figures reconcile to the Lucky Strike season revenue tracker.</t>
        </is>
      </c>
    </row>
    <row r="4">
      <c r="A4" s="3" t="inlineStr">
        <is>
          <t>Lucky Strike Charters (Schedule C)</t>
        </is>
      </c>
    </row>
    <row r="5">
      <c r="A5" s="4" t="inlineStr">
        <is>
          <t>Line</t>
        </is>
      </c>
      <c r="B5" s="4" t="inlineStr">
        <is>
          <t>Amount (USD)</t>
        </is>
      </c>
    </row>
    <row r="6">
      <c r="A6" t="inlineStr">
        <is>
          <t>Gross receipts, charter income</t>
        </is>
      </c>
      <c r="B6" s="5" t="n">
        <v>80000</v>
      </c>
    </row>
    <row r="7">
      <c r="A7" t="inlineStr">
        <is>
          <t>Fuel</t>
        </is>
      </c>
      <c r="B7" s="5" t="n">
        <v>22400</v>
      </c>
    </row>
    <row r="8">
      <c r="A8" t="inlineStr">
        <is>
          <t>Contract labor, mate (Russ Taylor)</t>
        </is>
      </c>
      <c r="B8" s="5" t="n">
        <v>18800</v>
      </c>
    </row>
    <row r="9">
      <c r="A9" t="inlineStr">
        <is>
          <t>Dock fees</t>
        </is>
      </c>
      <c r="B9" s="5" t="n">
        <v>4200</v>
      </c>
    </row>
    <row r="10">
      <c r="A10" t="inlineStr">
        <is>
          <t>Insurance (Gulf Coast Marine)</t>
        </is>
      </c>
      <c r="B10" s="5" t="n">
        <v>4200</v>
      </c>
    </row>
    <row r="11">
      <c r="A11" t="inlineStr">
        <is>
          <t>Repairs and maintenance</t>
        </is>
      </c>
      <c r="B11" s="5" t="n">
        <v>4800</v>
      </c>
    </row>
    <row r="12">
      <c r="A12" s="3" t="inlineStr">
        <is>
          <t>Total expenses</t>
        </is>
      </c>
      <c r="B12" s="6">
        <f>SUM(B7:B11)</f>
        <v/>
      </c>
    </row>
    <row r="13">
      <c r="A13" s="3" t="inlineStr">
        <is>
          <t>Net profit, charter</t>
        </is>
      </c>
      <c r="B13" s="6">
        <f>B6-B12</f>
        <v/>
      </c>
    </row>
    <row r="15">
      <c r="A15" s="3" t="inlineStr">
        <is>
          <t>Bennett Guitar Works (Schedule C)</t>
        </is>
      </c>
    </row>
    <row r="16">
      <c r="A16" t="inlineStr">
        <is>
          <t>Gross receipts, repairs and restorations</t>
        </is>
      </c>
      <c r="B16" s="5" t="n">
        <v>14800</v>
      </c>
    </row>
    <row r="17">
      <c r="A17" t="inlineStr">
        <is>
          <t>Parts and shop supplies</t>
        </is>
      </c>
      <c r="B17" s="5" t="n">
        <v>2800</v>
      </c>
    </row>
    <row r="18">
      <c r="A18" s="3" t="inlineStr">
        <is>
          <t>Net profit, guitar shop</t>
        </is>
      </c>
      <c r="B18" s="6">
        <f>B16-B17</f>
        <v/>
      </c>
    </row>
    <row r="20">
      <c r="A20" s="3" t="inlineStr">
        <is>
          <t>Combined</t>
        </is>
      </c>
    </row>
    <row r="21">
      <c r="A21" s="3" t="inlineStr">
        <is>
          <t>Combined net business profit</t>
        </is>
      </c>
      <c r="B21" s="6">
        <f>B13+B18</f>
        <v/>
      </c>
    </row>
    <row r="23">
      <c r="A23" s="3" t="inlineStr">
        <is>
          <t>2025 Federal Tax Reconciliation</t>
        </is>
      </c>
    </row>
    <row r="24">
      <c r="A24" t="inlineStr">
        <is>
          <t>Combined net profit</t>
        </is>
      </c>
      <c r="B24" s="5">
        <f>B21</f>
        <v/>
      </c>
    </row>
    <row r="25">
      <c r="A25" t="inlineStr">
        <is>
          <t>One half self employment tax deduction</t>
        </is>
      </c>
      <c r="B25" s="5" t="n">
        <v>-2656</v>
      </c>
    </row>
    <row r="26">
      <c r="A26" t="inlineStr">
        <is>
          <t>Qualified business income deduction</t>
        </is>
      </c>
      <c r="B26" s="5" t="n">
        <v>-6989</v>
      </c>
    </row>
    <row r="27">
      <c r="A27" t="inlineStr">
        <is>
          <t>Standard deduction, single</t>
        </is>
      </c>
      <c r="B27" s="5" t="n">
        <v>-14600</v>
      </c>
    </row>
    <row r="28">
      <c r="A28" s="3" t="inlineStr">
        <is>
          <t>Taxable income</t>
        </is>
      </c>
      <c r="B28" s="6">
        <f>B24+B25+B26+B27</f>
        <v/>
      </c>
    </row>
    <row r="29">
      <c r="A29" t="inlineStr">
        <is>
          <t>Income tax</t>
        </is>
      </c>
      <c r="B29" s="5" t="n">
        <v>1364</v>
      </c>
    </row>
    <row r="30">
      <c r="A30" t="inlineStr">
        <is>
          <t>Self employment tax</t>
        </is>
      </c>
      <c r="B30" s="5" t="n">
        <v>5313</v>
      </c>
    </row>
    <row r="31">
      <c r="A31" s="3" t="inlineStr">
        <is>
          <t>Total federal tax</t>
        </is>
      </c>
      <c r="B31" s="6">
        <f>B29+B30</f>
        <v/>
      </c>
    </row>
    <row r="32">
      <c r="A32" t="inlineStr">
        <is>
          <t>2025 estimated payments (Form 1040-ES)</t>
        </is>
      </c>
      <c r="B32" s="5" t="n">
        <v>8243</v>
      </c>
    </row>
    <row r="33">
      <c r="A33" s="3" t="inlineStr">
        <is>
          <t>Refund</t>
        </is>
      </c>
      <c r="B33" s="6">
        <f>B32-B31</f>
        <v/>
      </c>
    </row>
    <row r="35">
      <c r="A35" s="2" t="inlineStr">
        <is>
          <t>Refund of 1,566 dollars received by direct deposit to Coastal Bank checking on January 31,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</Properties>
</file>

<file path=docProps/core.xml><?xml version="1.0" encoding="utf-8"?>
<cp:coreProperties xmlns:cp="http://schemas.openxmlformats.org/package/2006/metadata/core-properties">
  <dc:creator xmlns:dc="http://purl.org/dc/elements/1.1/">Carlos Bennett</dc:creator>
  <dc:title xmlns:dc="http://purl.org/dc/elements/1.1/">2025 Business Income Summary</dc:title>
  <dcterms:created xmlns:dcterms="http://purl.org/dc/terms/" xmlns:xsi="http://www.w3.org/2001/XMLSchema-instance" xsi:type="dcterms:W3CDTF">2026-01-30T09:00:00Z</dcterms:created>
  <dcterms:modified xmlns:dcterms="http://purl.org/dc/terms/" xmlns:xsi="http://www.w3.org/2001/XMLSchema-instance" xsi:type="dcterms:W3CDTF">2026-01-30T09:00:00Z</dcterms:modified>
  <cp:lastModifiedBy>Carlos Bennett</cp:lastModifiedBy>
</cp:coreProperties>
</file>